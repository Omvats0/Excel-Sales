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mc:AlternateContent xmlns:mc="http://schemas.openxmlformats.org/markup-compatibility/2006">
    <mc:Choice Requires="x15">
      <x15ac:absPath xmlns:x15ac="http://schemas.microsoft.com/office/spreadsheetml/2010/11/ac" url="C:\Users\Om Sharma\OneDrive\Desktop\Excel\Project_XL\"/>
    </mc:Choice>
  </mc:AlternateContent>
  <xr:revisionPtr revIDLastSave="0" documentId="8_{7A63F4E9-3404-42AA-A75D-854CA3DFCAA1}" xr6:coauthVersionLast="47" xr6:coauthVersionMax="47" xr10:uidLastSave="{00000000-0000-0000-0000-000000000000}"/>
  <bookViews>
    <workbookView xWindow="-108" yWindow="-108" windowWidth="23256" windowHeight="12456" tabRatio="714" firstSheet="8" activeTab="11" xr2:uid="{00000000-000D-0000-FFFF-FFFF00000000}"/>
  </bookViews>
  <sheets>
    <sheet name="FIRM WISE" sheetId="2" state="hidden" r:id="rId1"/>
    <sheet name="MONTH WISE" sheetId="4" state="hidden" r:id="rId2"/>
    <sheet name="TAX WISE" sheetId="5" state="hidden" r:id="rId3"/>
    <sheet name="PRODUCT WISE" sheetId="6" state="hidden" r:id="rId4"/>
    <sheet name="Firm_wise" sheetId="8" r:id="rId5"/>
    <sheet name="Month_wise" sheetId="9" r:id="rId6"/>
    <sheet name="Tax_wise" sheetId="10" r:id="rId7"/>
    <sheet name="Product_wise" sheetId="11" r:id="rId8"/>
    <sheet name="State_wise" sheetId="12" r:id="rId9"/>
    <sheet name="DATA" sheetId="1" r:id="rId10"/>
    <sheet name="Sheet1" sheetId="7" r:id="rId11"/>
    <sheet name="DASHBOARD" sheetId="13" r:id="rId12"/>
  </sheets>
  <definedNames>
    <definedName name="Slicer_Description_of_Goods">#N/A</definedName>
    <definedName name="Slicer_Firm_Name">#N/A</definedName>
    <definedName name="Slicer_Months__Date">#N/A</definedName>
    <definedName name="Slicer_State">#N/A</definedName>
    <definedName name="Slicer_Tax_Rate">#N/A</definedName>
  </definedNames>
  <calcPr calcId="191029"/>
  <pivotCaches>
    <pivotCache cacheId="0" r:id="rId13"/>
    <pivotCache cacheId="1" r:id="rId14"/>
  </pivotCaches>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<sst xmlns="http://schemas.openxmlformats.org/spreadsheetml/2006/main" count="222" uniqueCount="45">
  <si>
    <t xml:space="preserve">Firm Name </t>
  </si>
  <si>
    <t>State</t>
  </si>
  <si>
    <t>Invoice No.</t>
  </si>
  <si>
    <t>Date</t>
  </si>
  <si>
    <t>Tax Rate</t>
  </si>
  <si>
    <t>Description of Goods</t>
  </si>
  <si>
    <t>Qty</t>
  </si>
  <si>
    <t>Unit</t>
  </si>
  <si>
    <t>Rate</t>
  </si>
  <si>
    <t>Taxable Value</t>
  </si>
  <si>
    <t>IGST</t>
  </si>
  <si>
    <t>CGST</t>
  </si>
  <si>
    <t>SGST</t>
  </si>
  <si>
    <t>CESS</t>
  </si>
  <si>
    <t>TOTAL</t>
  </si>
  <si>
    <t>INVOICE VALUE</t>
  </si>
  <si>
    <t>JK Enterprise</t>
  </si>
  <si>
    <t>Local</t>
  </si>
  <si>
    <t>Plywood 6mm</t>
  </si>
  <si>
    <t>PCS</t>
  </si>
  <si>
    <t>Plywood 4mm</t>
  </si>
  <si>
    <t>INTERSTATE</t>
  </si>
  <si>
    <t>SR Hardware</t>
  </si>
  <si>
    <t>LOCAL</t>
  </si>
  <si>
    <t>Row Labels</t>
  </si>
  <si>
    <t>Grand Total</t>
  </si>
  <si>
    <t>Sum of TOTAL</t>
  </si>
  <si>
    <t>Apr</t>
  </si>
  <si>
    <t>May</t>
  </si>
  <si>
    <t>Jun</t>
  </si>
  <si>
    <t>Jul</t>
  </si>
  <si>
    <t>Sum of IGST</t>
  </si>
  <si>
    <t>Sum of CGST</t>
  </si>
  <si>
    <t>Sum of SGST</t>
  </si>
  <si>
    <t>Count of CESS</t>
  </si>
  <si>
    <t>FIRM WISE</t>
  </si>
  <si>
    <t>MONTH WISE</t>
  </si>
  <si>
    <t>TAX WISE</t>
  </si>
  <si>
    <t>PRODUCT WISE</t>
  </si>
  <si>
    <t>STATE WISE</t>
  </si>
  <si>
    <t>PT_FIRM</t>
  </si>
  <si>
    <t>PT_MONTH</t>
  </si>
  <si>
    <t>PT_TAX</t>
  </si>
  <si>
    <t>PT_PRODUCT</t>
  </si>
  <si>
    <t>PT_STATE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</si>
</sst>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6" x14ac:knownFonts="1">
    <font>
      <sz val="11"/>
      <color theme="1"/>
      <name val="Calibri"/>
      <family val="2"/>
      <scheme val="minor"/>
    </font>
    <font>
      <sz val="11"/>
      <color theme="1"/>
      <name val="Calibri"/>
      <family val="2"/>
      <scheme val="minor"/>
    </font>
    <font>
      <sz val="12"/>
      <color theme="1"/>
      <name val="Calibri"/>
      <family val="2"/>
      <scheme val="minor"/>
    </font>
    <font>
      <sz val="16"/>
      <color rgb="FFFF0000"/>
      <name val="Calibri"/>
      <family val="2"/>
      <scheme val="minor"/>
    </font>
    <font>
      <b/>
      <sz val="14"/>
      <color theme="0"/>
      <name val="Calibri"/>
      <family val="2"/>
      <scheme val="minor"/>
    </font>
    <font>
      <sz val="14"/>
      <color theme="1"/>
      <name val="Calibri"/>
      <family val="2"/>
      <scheme val="minor"/>
    </font>
  </fonts>
  <fills count="6">
    <fill>
      <patternFill patternType="none"/>
    </fill>
    <fill>
      <patternFill patternType="gray125"/>
    </fill>
    <fill>
      <patternFill patternType="solid">
        <fgColor theme="9" tint="0.59999389629810485"/>
        <bgColor indexed="65"/>
      </patternFill>
    </fill>
    <fill>
      <patternFill patternType="solid">
        <fgColor rgb="FFFFC000"/>
        <bgColor indexed="64"/>
      </patternFill>
    </fill>
    <fill>
      <patternFill patternType="solid">
        <fgColor theme="4" tint="0.79998168889431442"/>
        <bgColor theme="4" tint="0.79998168889431442"/>
      </patternFill>
    </fill>
    <fill>
      <patternFill patternType="solid">
        <fgColor theme="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s>
  <cellStyleXfs count="2">
    <xf numFmtId="0" fontId="0" fillId="0" borderId="0"/>
    <xf numFmtId="0" fontId="1" fillId="2" borderId="0" applyNumberFormat="0" applyBorder="0" applyAlignment="0" applyProtection="0"/>
  </cellStyleXfs>
  <cellXfs count="34">
    <xf numFmtId="0" fontId="0" fillId="0" borderId="0" xfId="0"/>
    <xf numFmtId="0" fontId="0" fillId="0" borderId="0" xfId="0" pivotButton="1"/>
    <xf numFmtId="0" fontId="0" fillId="0" borderId="0" xfId="0" applyAlignment="1">
      <alignment horizontal="left"/>
    </xf>
    <xf numFmtId="14" fontId="0" fillId="0" borderId="0" xfId="0" applyNumberFormat="1" applyAlignment="1">
      <alignment horizontal="left"/>
    </xf>
    <xf numFmtId="10" fontId="0" fillId="0" borderId="0" xfId="0" applyNumberFormat="1" applyAlignment="1">
      <alignment horizontal="left"/>
    </xf>
    <xf numFmtId="0" fontId="3" fillId="0" borderId="1" xfId="0" applyFont="1" applyBorder="1"/>
    <xf numFmtId="0" fontId="2" fillId="4" borderId="2" xfId="1" applyFont="1" applyFill="1" applyBorder="1" applyAlignment="1">
      <alignment horizontal="center" vertical="center"/>
    </xf>
    <xf numFmtId="14" fontId="2" fillId="4" borderId="2" xfId="1" applyNumberFormat="1" applyFont="1" applyFill="1" applyBorder="1" applyAlignment="1">
      <alignment horizontal="center" vertical="center"/>
    </xf>
    <xf numFmtId="10" fontId="2" fillId="4" borderId="2" xfId="1" applyNumberFormat="1" applyFont="1" applyFill="1" applyBorder="1" applyAlignment="1">
      <alignment horizontal="center" vertical="center"/>
    </xf>
    <xf numFmtId="4" fontId="2" fillId="4" borderId="2" xfId="1" applyNumberFormat="1" applyFont="1" applyFill="1" applyBorder="1" applyAlignment="1">
      <alignment horizontal="center" vertical="center"/>
    </xf>
    <xf numFmtId="4" fontId="2" fillId="4" borderId="2" xfId="0" applyNumberFormat="1" applyFont="1" applyFill="1" applyBorder="1"/>
    <xf numFmtId="4" fontId="2" fillId="4" borderId="2" xfId="1" applyNumberFormat="1" applyFont="1" applyFill="1" applyBorder="1"/>
    <xf numFmtId="0" fontId="2" fillId="2" borderId="2" xfId="1" applyFont="1" applyBorder="1" applyAlignment="1">
      <alignment horizontal="center" vertical="center"/>
    </xf>
    <xf numFmtId="14" fontId="2" fillId="2" borderId="2" xfId="1" applyNumberFormat="1" applyFont="1" applyBorder="1" applyAlignment="1">
      <alignment horizontal="center" vertical="center"/>
    </xf>
    <xf numFmtId="10" fontId="2" fillId="2" borderId="2" xfId="1" applyNumberFormat="1" applyFont="1" applyBorder="1" applyAlignment="1">
      <alignment horizontal="center" vertical="center"/>
    </xf>
    <xf numFmtId="4" fontId="2" fillId="2" borderId="2" xfId="1" applyNumberFormat="1" applyFont="1" applyBorder="1" applyAlignment="1">
      <alignment horizontal="center" vertical="center"/>
    </xf>
    <xf numFmtId="4" fontId="2" fillId="0" borderId="2" xfId="0" applyNumberFormat="1" applyFont="1" applyBorder="1"/>
    <xf numFmtId="4" fontId="2" fillId="2" borderId="2" xfId="1" applyNumberFormat="1" applyFont="1" applyBorder="1"/>
    <xf numFmtId="10" fontId="2" fillId="4" borderId="2" xfId="1" applyNumberFormat="1" applyFont="1" applyFill="1" applyBorder="1" applyAlignment="1">
      <alignment horizontal="center"/>
    </xf>
    <xf numFmtId="0" fontId="2" fillId="4" borderId="2" xfId="1" applyFont="1" applyFill="1" applyBorder="1" applyAlignment="1">
      <alignment horizontal="center"/>
    </xf>
    <xf numFmtId="10" fontId="2" fillId="2" borderId="2" xfId="1" applyNumberFormat="1" applyFont="1" applyBorder="1" applyAlignment="1">
      <alignment horizontal="center"/>
    </xf>
    <xf numFmtId="0" fontId="2" fillId="2" borderId="2" xfId="1" applyFont="1" applyBorder="1" applyAlignment="1">
      <alignment horizontal="center"/>
    </xf>
    <xf numFmtId="0" fontId="2" fillId="4" borderId="3" xfId="1" applyFont="1" applyFill="1" applyBorder="1" applyAlignment="1">
      <alignment horizontal="center" vertical="center"/>
    </xf>
    <xf numFmtId="0" fontId="2" fillId="2" borderId="3" xfId="1" applyFont="1" applyBorder="1" applyAlignment="1">
      <alignment horizontal="center" vertical="center"/>
    </xf>
    <xf numFmtId="9" fontId="4" fillId="3" borderId="0" xfId="0" applyNumberFormat="1" applyFont="1" applyFill="1" applyAlignment="1">
      <alignment horizontal="center" vertical="center"/>
    </xf>
    <xf numFmtId="9" fontId="4" fillId="3" borderId="4" xfId="0" applyNumberFormat="1" applyFont="1" applyFill="1" applyBorder="1" applyAlignment="1">
      <alignment horizontal="center" vertical="center"/>
    </xf>
    <xf numFmtId="10" fontId="4" fillId="3" borderId="4" xfId="0" applyNumberFormat="1" applyFont="1" applyFill="1" applyBorder="1" applyAlignment="1">
      <alignment horizontal="center" vertical="center"/>
    </xf>
    <xf numFmtId="164" fontId="4" fillId="3" borderId="4" xfId="0" applyNumberFormat="1" applyFont="1" applyFill="1" applyBorder="1" applyAlignment="1">
      <alignment horizontal="center" vertical="center"/>
    </xf>
    <xf numFmtId="4" fontId="0" fillId="0" borderId="0" xfId="0" applyNumberFormat="1"/>
    <xf numFmtId="0" fontId="5" fillId="0" borderId="0" xfId="0" pivotButton="1" applyFont="1"/>
    <xf numFmtId="0" fontId="5" fillId="0" borderId="0" xfId="0" applyFont="1"/>
    <xf numFmtId="0" fontId="5" fillId="0" borderId="0" xfId="0" applyFont="1" applyAlignment="1">
      <alignment horizontal="left"/>
    </xf>
    <xf numFmtId="4" fontId="5" fillId="0" borderId="0" xfId="0" applyNumberFormat="1" applyFont="1"/>
    <xf numFmtId="0" fontId="0" fillId="5" borderId="0" xfId="0" applyFill="1"/>
  </cellXfs>
  <cellStyles count="2">
    <cellStyle name="40% - Accent6" xfId="1" builtinId="51"/>
    <cellStyle name="Normal" xfId="0" builtinId="0"/>
  </cellStyles>
  <dxfs count="44">
    <dxf>
      <font>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b/>
        <i val="0"/>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color theme="0"/>
      </font>
      <fill>
        <patternFill>
          <bgColor theme="9" tint="-0.24994659260841701"/>
        </patternFill>
      </fill>
    </dxf>
    <dxf>
      <font>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b/>
        <i val="0"/>
        <color theme="0"/>
      </font>
      <fill>
        <patternFill>
          <bgColor theme="9" tint="-0.24994659260841701"/>
        </patternFill>
      </fill>
    </dxf>
    <dxf>
      <font>
        <b/>
        <i val="0"/>
        <color theme="0"/>
      </font>
      <fill>
        <patternFill>
          <bgColor theme="9" tint="-0.24994659260841701"/>
        </patternFill>
      </fill>
    </dxf>
    <dxf>
      <font>
        <color theme="0"/>
      </font>
      <fill>
        <patternFill>
          <bgColor theme="9" tint="-0.24994659260841701"/>
        </patternFill>
      </fill>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14" formatCode="0.00%"/>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14" formatCode="0.00%"/>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19" formatCode="dd/mm/yyyy"/>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right/>
        <top style="thin">
          <color indexed="64"/>
        </top>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4"/>
        <color theme="0"/>
        <name val="Calibri"/>
        <family val="2"/>
        <scheme val="minor"/>
      </font>
      <numFmt numFmtId="164" formatCode="[$-409]d\-mmm\-yy;@"/>
      <fill>
        <patternFill patternType="solid">
          <fgColor indexed="64"/>
          <bgColor rgb="FFFFC000"/>
        </patternFill>
      </fill>
      <alignment horizontal="center" vertical="center" textRotation="0" wrapText="0" indent="0" justifyLastLine="0" shrinkToFit="0" readingOrder="0"/>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.xlsx]Firm_wise!PivotTable1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rgbClr val="FF0000"/>
                </a:solidFill>
              </a:rPr>
              <a:t>FIRM_WISE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Firm_wise!$B$3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4B-42F3-AC64-909B44B092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4B-42F3-AC64-909B44B092A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Firm_wise!$A$4:$A$6</c:f>
              <c:strCache>
                <c:ptCount val="2"/>
                <c:pt idx="0">
                  <c:v>JK Enterprise</c:v>
                </c:pt>
                <c:pt idx="1">
                  <c:v>SR Hardware</c:v>
                </c:pt>
              </c:strCache>
            </c:strRef>
          </c:cat>
          <c:val>
            <c:numRef>
              <c:f>Firm_wise!$B$4:$B$6</c:f>
              <c:numCache>
                <c:formatCode>#,##0.00</c:formatCode>
                <c:ptCount val="2"/>
                <c:pt idx="0">
                  <c:v>410376.47000000003</c:v>
                </c:pt>
                <c:pt idx="1">
                  <c:v>459587.38999999996</c:v>
                </c:pt>
              </c:numCache>
            </c:numRef>
          </c:val>
          <c:extLst>
            <c:ext xmlns:c16="http://schemas.microsoft.com/office/drawing/2014/chart" uri="{C3380CC4-5D6E-409C-BE32-E72D297353CC}">
              <c16:uniqueId val="{00000004-434B-42F3-AC64-909B44B092A9}"/>
            </c:ext>
          </c:extLst>
        </c:ser>
        <c:dLbls>
          <c:dLblPos val="bestFit"/>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.xlsx]Month_wise!PivotTable2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u="sng">
                <a:solidFill>
                  <a:srgbClr val="FF0000"/>
                </a:solidFill>
              </a:rPr>
              <a:t>MONTH</a:t>
            </a:r>
            <a:r>
              <a:rPr lang="en-US" sz="1600" b="1" u="sng" baseline="0">
                <a:solidFill>
                  <a:srgbClr val="FF0000"/>
                </a:solidFill>
              </a:rPr>
              <a:t> </a:t>
            </a:r>
            <a:r>
              <a:rPr lang="en-US" sz="1600" b="1" u="sng">
                <a:solidFill>
                  <a:srgbClr val="FF0000"/>
                </a:solidFill>
              </a:rPr>
              <a:t>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Month_wise!$B$3</c:f>
              <c:strCache>
                <c:ptCount val="1"/>
                <c:pt idx="0">
                  <c:v>Total</c:v>
                </c:pt>
              </c:strCache>
            </c:strRef>
          </c:tx>
          <c:spPr>
            <a:solidFill>
              <a:schemeClr val="accent1"/>
            </a:solidFill>
            <a:ln>
              <a:noFill/>
            </a:ln>
            <a:effectLst/>
            <a:sp3d/>
          </c:spPr>
          <c:invertIfNegative val="0"/>
          <c:cat>
            <c:strRef>
              <c:f>Month_wise!$A$4:$A$8</c:f>
              <c:strCache>
                <c:ptCount val="4"/>
                <c:pt idx="0">
                  <c:v>Apr</c:v>
                </c:pt>
                <c:pt idx="1">
                  <c:v>May</c:v>
                </c:pt>
                <c:pt idx="2">
                  <c:v>Jun</c:v>
                </c:pt>
                <c:pt idx="3">
                  <c:v>Jul</c:v>
                </c:pt>
              </c:strCache>
            </c:strRef>
          </c:cat>
          <c:val>
            <c:numRef>
              <c:f>Month_wise!$B$4:$B$8</c:f>
              <c:numCache>
                <c:formatCode>#,##0.00</c:formatCode>
                <c:ptCount val="4"/>
                <c:pt idx="0">
                  <c:v>21004</c:v>
                </c:pt>
                <c:pt idx="1">
                  <c:v>229752.43999999997</c:v>
                </c:pt>
                <c:pt idx="2">
                  <c:v>389805.09</c:v>
                </c:pt>
                <c:pt idx="3">
                  <c:v>229402.33</c:v>
                </c:pt>
              </c:numCache>
            </c:numRef>
          </c:val>
          <c:extLst>
            <c:ext xmlns:c16="http://schemas.microsoft.com/office/drawing/2014/chart" uri="{C3380CC4-5D6E-409C-BE32-E72D297353CC}">
              <c16:uniqueId val="{00000000-8723-4C09-B514-B93FDF3D5218}"/>
            </c:ext>
          </c:extLst>
        </c:ser>
        <c:dLbls>
          <c:showLegendKey val="0"/>
          <c:showVal val="0"/>
          <c:showCatName val="0"/>
          <c:showSerName val="0"/>
          <c:showPercent val="0"/>
          <c:showBubbleSize val="0"/>
        </c:dLbls>
        <c:gapWidth val="150"/>
        <c:shape val="box"/>
        <c:axId val="624074336"/>
        <c:axId val="624070016"/>
        <c:axId val="0"/>
      </c:bar3DChart>
      <c:catAx>
        <c:axId val="624074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070016"/>
        <c:crosses val="autoZero"/>
        <c:auto val="1"/>
        <c:lblAlgn val="ctr"/>
        <c:lblOffset val="100"/>
        <c:noMultiLvlLbl val="0"/>
      </c:catAx>
      <c:valAx>
        <c:axId val="624070016"/>
        <c:scaling>
          <c:orientation val="minMax"/>
        </c:scaling>
        <c:delete val="1"/>
        <c:axPos val="l"/>
        <c:numFmt formatCode="#,##0.00" sourceLinked="1"/>
        <c:majorTickMark val="none"/>
        <c:minorTickMark val="none"/>
        <c:tickLblPos val="nextTo"/>
        <c:crossAx val="6240743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.xlsx]Product_wise!PivotTable1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u="sng">
                <a:solidFill>
                  <a:srgbClr val="FF0000"/>
                </a:solidFill>
              </a:rPr>
              <a:t>PRODUCT</a:t>
            </a:r>
            <a:r>
              <a:rPr lang="en-US" sz="1600" b="1" u="sng" baseline="0">
                <a:solidFill>
                  <a:srgbClr val="FF0000"/>
                </a:solidFill>
              </a:rPr>
              <a:t> WISE</a:t>
            </a:r>
            <a:endParaRPr lang="en-US" sz="1600" b="1" u="sng">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Product_wise!$B$3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E9-4E8B-9832-D0D47CE124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E9-4E8B-9832-D0D47CE124F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Product_wise!$A$4:$A$6</c:f>
              <c:strCache>
                <c:ptCount val="2"/>
                <c:pt idx="0">
                  <c:v>Plywood 4mm</c:v>
                </c:pt>
                <c:pt idx="1">
                  <c:v>Plywood 6mm</c:v>
                </c:pt>
              </c:strCache>
            </c:strRef>
          </c:cat>
          <c:val>
            <c:numRef>
              <c:f>Product_wise!$B$4:$B$6</c:f>
              <c:numCache>
                <c:formatCode>#,##0.00</c:formatCode>
                <c:ptCount val="2"/>
                <c:pt idx="0">
                  <c:v>427057.24</c:v>
                </c:pt>
                <c:pt idx="1">
                  <c:v>442906.61999999994</c:v>
                </c:pt>
              </c:numCache>
            </c:numRef>
          </c:val>
          <c:extLst>
            <c:ext xmlns:c16="http://schemas.microsoft.com/office/drawing/2014/chart" uri="{C3380CC4-5D6E-409C-BE32-E72D297353CC}">
              <c16:uniqueId val="{00000004-39E9-4E8B-9832-D0D47CE124F3}"/>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.xlsx]Tax_wise!PivotTable3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u="sng">
                <a:solidFill>
                  <a:srgbClr val="FF0000"/>
                </a:solidFill>
              </a:rPr>
              <a:t>TAX</a:t>
            </a:r>
            <a:r>
              <a:rPr lang="en-IN" sz="1600" b="1" u="sng" baseline="0">
                <a:solidFill>
                  <a:srgbClr val="FF0000"/>
                </a:solidFill>
              </a:rPr>
              <a:t> WISE</a:t>
            </a:r>
            <a:endParaRPr lang="en-IN" sz="1600" b="1" u="sng">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Tax_wise!$B$3</c:f>
              <c:strCache>
                <c:ptCount val="1"/>
                <c:pt idx="0">
                  <c:v>Sum of IGST</c:v>
                </c:pt>
              </c:strCache>
            </c:strRef>
          </c:tx>
          <c:spPr>
            <a:solidFill>
              <a:schemeClr val="accent1"/>
            </a:solidFill>
            <a:ln>
              <a:noFill/>
            </a:ln>
            <a:effectLst/>
            <a:sp3d/>
          </c:spPr>
          <c:invertIfNegative val="0"/>
          <c:cat>
            <c:strRef>
              <c:f>Tax_wise!$A$4:$A$11</c:f>
              <c:strCache>
                <c:ptCount val="7"/>
                <c:pt idx="0">
                  <c:v>0.00%</c:v>
                </c:pt>
                <c:pt idx="1">
                  <c:v>0.10%</c:v>
                </c:pt>
                <c:pt idx="2">
                  <c:v>3.00%</c:v>
                </c:pt>
                <c:pt idx="3">
                  <c:v>5.00%</c:v>
                </c:pt>
                <c:pt idx="4">
                  <c:v>12.00%</c:v>
                </c:pt>
                <c:pt idx="5">
                  <c:v>18.00%</c:v>
                </c:pt>
                <c:pt idx="6">
                  <c:v>28.00%</c:v>
                </c:pt>
              </c:strCache>
            </c:strRef>
          </c:cat>
          <c:val>
            <c:numRef>
              <c:f>Tax_wise!$B$4:$B$11</c:f>
              <c:numCache>
                <c:formatCode>#,##0.00</c:formatCode>
                <c:ptCount val="7"/>
                <c:pt idx="0">
                  <c:v>0</c:v>
                </c:pt>
                <c:pt idx="1">
                  <c:v>0</c:v>
                </c:pt>
                <c:pt idx="2">
                  <c:v>1505.25</c:v>
                </c:pt>
                <c:pt idx="3">
                  <c:v>1393.75</c:v>
                </c:pt>
                <c:pt idx="4">
                  <c:v>0</c:v>
                </c:pt>
                <c:pt idx="5">
                  <c:v>8429.4</c:v>
                </c:pt>
                <c:pt idx="6">
                  <c:v>0</c:v>
                </c:pt>
              </c:numCache>
            </c:numRef>
          </c:val>
          <c:extLst>
            <c:ext xmlns:c16="http://schemas.microsoft.com/office/drawing/2014/chart" uri="{C3380CC4-5D6E-409C-BE32-E72D297353CC}">
              <c16:uniqueId val="{00000000-06E2-4BC8-A9DC-4B01B58BF0D3}"/>
            </c:ext>
          </c:extLst>
        </c:ser>
        <c:ser>
          <c:idx val="1"/>
          <c:order val="1"/>
          <c:tx>
            <c:strRef>
              <c:f>Tax_wise!$C$3</c:f>
              <c:strCache>
                <c:ptCount val="1"/>
                <c:pt idx="0">
                  <c:v>Sum of CGST</c:v>
                </c:pt>
              </c:strCache>
            </c:strRef>
          </c:tx>
          <c:spPr>
            <a:solidFill>
              <a:schemeClr val="accent2"/>
            </a:solidFill>
            <a:ln>
              <a:noFill/>
            </a:ln>
            <a:effectLst/>
            <a:sp3d/>
          </c:spPr>
          <c:invertIfNegative val="0"/>
          <c:cat>
            <c:strRef>
              <c:f>Tax_wise!$A$4:$A$11</c:f>
              <c:strCache>
                <c:ptCount val="7"/>
                <c:pt idx="0">
                  <c:v>0.00%</c:v>
                </c:pt>
                <c:pt idx="1">
                  <c:v>0.10%</c:v>
                </c:pt>
                <c:pt idx="2">
                  <c:v>3.00%</c:v>
                </c:pt>
                <c:pt idx="3">
                  <c:v>5.00%</c:v>
                </c:pt>
                <c:pt idx="4">
                  <c:v>12.00%</c:v>
                </c:pt>
                <c:pt idx="5">
                  <c:v>18.00%</c:v>
                </c:pt>
                <c:pt idx="6">
                  <c:v>28.00%</c:v>
                </c:pt>
              </c:strCache>
            </c:strRef>
          </c:cat>
          <c:val>
            <c:numRef>
              <c:f>Tax_wise!$C$4:$C$11</c:f>
              <c:numCache>
                <c:formatCode>#,##0.00</c:formatCode>
                <c:ptCount val="7"/>
                <c:pt idx="0">
                  <c:v>0</c:v>
                </c:pt>
                <c:pt idx="1">
                  <c:v>46.83</c:v>
                </c:pt>
                <c:pt idx="2">
                  <c:v>1087.125</c:v>
                </c:pt>
                <c:pt idx="3">
                  <c:v>2871.125</c:v>
                </c:pt>
                <c:pt idx="4">
                  <c:v>7559.4</c:v>
                </c:pt>
                <c:pt idx="5">
                  <c:v>3307.95</c:v>
                </c:pt>
                <c:pt idx="6">
                  <c:v>19200.300000000003</c:v>
                </c:pt>
              </c:numCache>
            </c:numRef>
          </c:val>
          <c:extLst>
            <c:ext xmlns:c16="http://schemas.microsoft.com/office/drawing/2014/chart" uri="{C3380CC4-5D6E-409C-BE32-E72D297353CC}">
              <c16:uniqueId val="{00000001-06E2-4BC8-A9DC-4B01B58BF0D3}"/>
            </c:ext>
          </c:extLst>
        </c:ser>
        <c:ser>
          <c:idx val="2"/>
          <c:order val="2"/>
          <c:tx>
            <c:strRef>
              <c:f>Tax_wise!$D$3</c:f>
              <c:strCache>
                <c:ptCount val="1"/>
                <c:pt idx="0">
                  <c:v>Sum of SGST</c:v>
                </c:pt>
              </c:strCache>
            </c:strRef>
          </c:tx>
          <c:spPr>
            <a:solidFill>
              <a:schemeClr val="accent3"/>
            </a:solidFill>
            <a:ln>
              <a:noFill/>
            </a:ln>
            <a:effectLst/>
            <a:sp3d/>
          </c:spPr>
          <c:invertIfNegative val="0"/>
          <c:cat>
            <c:strRef>
              <c:f>Tax_wise!$A$4:$A$11</c:f>
              <c:strCache>
                <c:ptCount val="7"/>
                <c:pt idx="0">
                  <c:v>0.00%</c:v>
                </c:pt>
                <c:pt idx="1">
                  <c:v>0.10%</c:v>
                </c:pt>
                <c:pt idx="2">
                  <c:v>3.00%</c:v>
                </c:pt>
                <c:pt idx="3">
                  <c:v>5.00%</c:v>
                </c:pt>
                <c:pt idx="4">
                  <c:v>12.00%</c:v>
                </c:pt>
                <c:pt idx="5">
                  <c:v>18.00%</c:v>
                </c:pt>
                <c:pt idx="6">
                  <c:v>28.00%</c:v>
                </c:pt>
              </c:strCache>
            </c:strRef>
          </c:cat>
          <c:val>
            <c:numRef>
              <c:f>Tax_wise!$D$4:$D$11</c:f>
              <c:numCache>
                <c:formatCode>#,##0.00</c:formatCode>
                <c:ptCount val="7"/>
                <c:pt idx="0">
                  <c:v>0</c:v>
                </c:pt>
                <c:pt idx="1">
                  <c:v>46.83</c:v>
                </c:pt>
                <c:pt idx="2">
                  <c:v>1087.125</c:v>
                </c:pt>
                <c:pt idx="3">
                  <c:v>2871.125</c:v>
                </c:pt>
                <c:pt idx="4">
                  <c:v>7559.4</c:v>
                </c:pt>
                <c:pt idx="5">
                  <c:v>3307.95</c:v>
                </c:pt>
                <c:pt idx="6">
                  <c:v>19200.300000000003</c:v>
                </c:pt>
              </c:numCache>
            </c:numRef>
          </c:val>
          <c:extLst>
            <c:ext xmlns:c16="http://schemas.microsoft.com/office/drawing/2014/chart" uri="{C3380CC4-5D6E-409C-BE32-E72D297353CC}">
              <c16:uniqueId val="{00000002-06E2-4BC8-A9DC-4B01B58BF0D3}"/>
            </c:ext>
          </c:extLst>
        </c:ser>
        <c:ser>
          <c:idx val="3"/>
          <c:order val="3"/>
          <c:tx>
            <c:strRef>
              <c:f>Tax_wise!$E$3</c:f>
              <c:strCache>
                <c:ptCount val="1"/>
                <c:pt idx="0">
                  <c:v>Sum of TOTAL</c:v>
                </c:pt>
              </c:strCache>
            </c:strRef>
          </c:tx>
          <c:spPr>
            <a:solidFill>
              <a:schemeClr val="accent4"/>
            </a:solidFill>
            <a:ln>
              <a:noFill/>
            </a:ln>
            <a:effectLst/>
            <a:sp3d/>
          </c:spPr>
          <c:invertIfNegative val="0"/>
          <c:cat>
            <c:strRef>
              <c:f>Tax_wise!$A$4:$A$11</c:f>
              <c:strCache>
                <c:ptCount val="7"/>
                <c:pt idx="0">
                  <c:v>0.00%</c:v>
                </c:pt>
                <c:pt idx="1">
                  <c:v>0.10%</c:v>
                </c:pt>
                <c:pt idx="2">
                  <c:v>3.00%</c:v>
                </c:pt>
                <c:pt idx="3">
                  <c:v>5.00%</c:v>
                </c:pt>
                <c:pt idx="4">
                  <c:v>12.00%</c:v>
                </c:pt>
                <c:pt idx="5">
                  <c:v>18.00%</c:v>
                </c:pt>
                <c:pt idx="6">
                  <c:v>28.00%</c:v>
                </c:pt>
              </c:strCache>
            </c:strRef>
          </c:cat>
          <c:val>
            <c:numRef>
              <c:f>Tax_wise!$E$4:$E$11</c:f>
              <c:numCache>
                <c:formatCode>#,##0.00</c:formatCode>
                <c:ptCount val="7"/>
                <c:pt idx="0">
                  <c:v>84740</c:v>
                </c:pt>
                <c:pt idx="1">
                  <c:v>93753.659999999989</c:v>
                </c:pt>
                <c:pt idx="2">
                  <c:v>126329.5</c:v>
                </c:pt>
                <c:pt idx="3">
                  <c:v>149856</c:v>
                </c:pt>
                <c:pt idx="4">
                  <c:v>141108.79999999999</c:v>
                </c:pt>
                <c:pt idx="5">
                  <c:v>98630.3</c:v>
                </c:pt>
                <c:pt idx="6">
                  <c:v>175545.59999999998</c:v>
                </c:pt>
              </c:numCache>
            </c:numRef>
          </c:val>
          <c:extLst>
            <c:ext xmlns:c16="http://schemas.microsoft.com/office/drawing/2014/chart" uri="{C3380CC4-5D6E-409C-BE32-E72D297353CC}">
              <c16:uniqueId val="{00000003-06E2-4BC8-A9DC-4B01B58BF0D3}"/>
            </c:ext>
          </c:extLst>
        </c:ser>
        <c:dLbls>
          <c:showLegendKey val="0"/>
          <c:showVal val="0"/>
          <c:showCatName val="0"/>
          <c:showSerName val="0"/>
          <c:showPercent val="0"/>
          <c:showBubbleSize val="0"/>
        </c:dLbls>
        <c:gapWidth val="150"/>
        <c:shape val="box"/>
        <c:axId val="213337920"/>
        <c:axId val="213338880"/>
        <c:axId val="0"/>
      </c:bar3DChart>
      <c:catAx>
        <c:axId val="2133379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38880"/>
        <c:crosses val="autoZero"/>
        <c:auto val="1"/>
        <c:lblAlgn val="ctr"/>
        <c:lblOffset val="100"/>
        <c:noMultiLvlLbl val="0"/>
      </c:catAx>
      <c:valAx>
        <c:axId val="213338880"/>
        <c:scaling>
          <c:orientation val="minMax"/>
        </c:scaling>
        <c:delete val="1"/>
        <c:axPos val="l"/>
        <c:numFmt formatCode="#,##0.00" sourceLinked="1"/>
        <c:majorTickMark val="none"/>
        <c:minorTickMark val="none"/>
        <c:tickLblPos val="nextTo"/>
        <c:crossAx val="213337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 .xlsx]State_wise!PivotTable2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u="sng">
                <a:solidFill>
                  <a:srgbClr val="FF0000"/>
                </a:solidFill>
              </a:rPr>
              <a:t>STATE</a:t>
            </a:r>
            <a:r>
              <a:rPr lang="en-IN" sz="1600" u="sng" baseline="0">
                <a:solidFill>
                  <a:srgbClr val="FF0000"/>
                </a:solidFill>
              </a:rPr>
              <a:t> WISE</a:t>
            </a:r>
            <a:endParaRPr lang="en-IN" sz="1600" u="sng">
              <a:solidFill>
                <a:srgbClr val="FF0000"/>
              </a:solidFill>
            </a:endParaRPr>
          </a:p>
        </c:rich>
      </c:tx>
      <c:layout>
        <c:manualLayout>
          <c:xMode val="edge"/>
          <c:yMode val="edge"/>
          <c:x val="0.39848744292237437"/>
          <c:y val="4.05092592592592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State_wise!$B$3</c:f>
              <c:strCache>
                <c:ptCount val="1"/>
                <c:pt idx="0">
                  <c:v>Total</c:v>
                </c:pt>
              </c:strCache>
            </c:strRef>
          </c:tx>
          <c:spPr>
            <a:solidFill>
              <a:schemeClr val="accent1"/>
            </a:soli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State_wise!$A$4:$A$6</c:f>
              <c:strCache>
                <c:ptCount val="2"/>
                <c:pt idx="0">
                  <c:v>INTERSTATE</c:v>
                </c:pt>
                <c:pt idx="1">
                  <c:v>Local</c:v>
                </c:pt>
              </c:strCache>
            </c:strRef>
          </c:cat>
          <c:val>
            <c:numRef>
              <c:f>State_wise!$B$4:$B$6</c:f>
              <c:numCache>
                <c:formatCode>#,##0.00</c:formatCode>
                <c:ptCount val="2"/>
                <c:pt idx="0">
                  <c:v>139553.4</c:v>
                </c:pt>
                <c:pt idx="1">
                  <c:v>730410.46</c:v>
                </c:pt>
              </c:numCache>
            </c:numRef>
          </c:val>
          <c:extLst>
            <c:ext xmlns:c16="http://schemas.microsoft.com/office/drawing/2014/chart" uri="{C3380CC4-5D6E-409C-BE32-E72D297353CC}">
              <c16:uniqueId val="{00000000-98EA-483A-9918-10DB6A96A85B}"/>
            </c:ext>
          </c:extLst>
        </c:ser>
        <c:dLbls>
          <c:showLegendKey val="0"/>
          <c:showVal val="0"/>
          <c:showCatName val="0"/>
          <c:showSerName val="0"/>
          <c:showPercent val="0"/>
          <c:showBubbleSize val="0"/>
        </c:dLbls>
        <c:gapWidth val="150"/>
        <c:shape val="box"/>
        <c:axId val="1233267535"/>
        <c:axId val="1233254575"/>
        <c:axId val="0"/>
      </c:bar3DChart>
      <c:catAx>
        <c:axId val="123326753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254575"/>
        <c:crosses val="autoZero"/>
        <c:auto val="1"/>
        <c:lblAlgn val="ctr"/>
        <c:lblOffset val="100"/>
        <c:noMultiLvlLbl val="0"/>
      </c:catAx>
      <c:valAx>
        <c:axId val="1233254575"/>
        <c:scaling>
          <c:orientation val="minMax"/>
        </c:scaling>
        <c:delete val="1"/>
        <c:axPos val="b"/>
        <c:numFmt formatCode="#,##0.00" sourceLinked="1"/>
        <c:majorTickMark val="out"/>
        <c:minorTickMark val="none"/>
        <c:tickLblPos val="nextTo"/>
        <c:crossAx val="1233267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0</xdr:colOff>
      <xdr:row>5</xdr:row>
      <xdr:rowOff>0</xdr:rowOff>
    </xdr:from>
    <xdr:to>
      <xdr:col>6</xdr:col>
      <xdr:colOff>312420</xdr:colOff>
      <xdr:row>14</xdr:row>
      <xdr:rowOff>22860</xdr:rowOff>
    </xdr:to>
    <xdr:graphicFrame macro="">
      <xdr:nvGraphicFramePr>
        <xdr:cNvPr id="2" name="Chart 1">
          <a:extLst>
            <a:ext uri="{FF2B5EF4-FFF2-40B4-BE49-F238E27FC236}">
              <a16:creationId xmlns:a16="http://schemas.microsoft.com/office/drawing/2014/main" id="{AF131F69-29E9-41BD-A9F9-4C99D49B87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312420</xdr:colOff>
      <xdr:row>5</xdr:row>
      <xdr:rowOff>0</xdr:rowOff>
    </xdr:from>
    <xdr:to>
      <xdr:col>11</xdr:col>
      <xdr:colOff>104384</xdr:colOff>
      <xdr:row>14</xdr:row>
      <xdr:rowOff>30480</xdr:rowOff>
    </xdr:to>
    <xdr:graphicFrame macro="">
      <xdr:nvGraphicFramePr>
        <xdr:cNvPr id="3" name="Chart 2">
          <a:extLst>
            <a:ext uri="{FF2B5EF4-FFF2-40B4-BE49-F238E27FC236}">
              <a16:creationId xmlns:a16="http://schemas.microsoft.com/office/drawing/2014/main" id="{F204E987-472D-423A-B91D-9A6113E6A8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83507</xdr:colOff>
      <xdr:row>4</xdr:row>
      <xdr:rowOff>175260</xdr:rowOff>
    </xdr:from>
    <xdr:to>
      <xdr:col>14</xdr:col>
      <xdr:colOff>563672</xdr:colOff>
      <xdr:row>14</xdr:row>
      <xdr:rowOff>30480</xdr:rowOff>
    </xdr:to>
    <xdr:graphicFrame macro="">
      <xdr:nvGraphicFramePr>
        <xdr:cNvPr id="4" name="Chart 3">
          <a:extLst>
            <a:ext uri="{FF2B5EF4-FFF2-40B4-BE49-F238E27FC236}">
              <a16:creationId xmlns:a16="http://schemas.microsoft.com/office/drawing/2014/main" id="{CCF0D915-8F65-4E51-8416-80FB779A85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14</xdr:row>
      <xdr:rowOff>31315</xdr:rowOff>
    </xdr:from>
    <xdr:to>
      <xdr:col>9</xdr:col>
      <xdr:colOff>250520</xdr:colOff>
      <xdr:row>25</xdr:row>
      <xdr:rowOff>10439</xdr:rowOff>
    </xdr:to>
    <xdr:graphicFrame macro="">
      <xdr:nvGraphicFramePr>
        <xdr:cNvPr id="5" name="Chart 4">
          <a:extLst>
            <a:ext uri="{FF2B5EF4-FFF2-40B4-BE49-F238E27FC236}">
              <a16:creationId xmlns:a16="http://schemas.microsoft.com/office/drawing/2014/main" id="{54E95589-A5F5-4236-AE5E-4EA1FA7AE0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260959</xdr:colOff>
      <xdr:row>14</xdr:row>
      <xdr:rowOff>41753</xdr:rowOff>
    </xdr:from>
    <xdr:to>
      <xdr:col>14</xdr:col>
      <xdr:colOff>553234</xdr:colOff>
      <xdr:row>25</xdr:row>
      <xdr:rowOff>0</xdr:rowOff>
    </xdr:to>
    <xdr:graphicFrame macro="">
      <xdr:nvGraphicFramePr>
        <xdr:cNvPr id="6" name="Chart 5">
          <a:extLst>
            <a:ext uri="{FF2B5EF4-FFF2-40B4-BE49-F238E27FC236}">
              <a16:creationId xmlns:a16="http://schemas.microsoft.com/office/drawing/2014/main" id="{47F3DB1E-4977-4310-A9BC-B991C113DD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571500</xdr:colOff>
      <xdr:row>4</xdr:row>
      <xdr:rowOff>171910</xdr:rowOff>
    </xdr:from>
    <xdr:to>
      <xdr:col>17</xdr:col>
      <xdr:colOff>12280</xdr:colOff>
      <xdr:row>14</xdr:row>
      <xdr:rowOff>44823</xdr:rowOff>
    </xdr:to>
    <mc:AlternateContent xmlns:mc="http://schemas.openxmlformats.org/markup-compatibility/2006" xmlns:a14="http://schemas.microsoft.com/office/drawing/2010/main">
      <mc:Choice Requires="a14">
        <xdr:graphicFrame macro="">
          <xdr:nvGraphicFramePr>
            <xdr:cNvPr id="7" name="PT_FIRM">
              <a:extLst>
                <a:ext uri="{FF2B5EF4-FFF2-40B4-BE49-F238E27FC236}">
                  <a16:creationId xmlns:a16="http://schemas.microsoft.com/office/drawing/2014/main" id="{77CD2E10-C718-815B-6C9F-321B536A0037}"/>
                </a:ext>
              </a:extLst>
            </xdr:cNvPr>
            <xdr:cNvGraphicFramePr/>
          </xdr:nvGraphicFramePr>
          <xdr:xfrm>
            <a:off x="0" y="0"/>
            <a:ext cx="0" cy="0"/>
          </xdr:xfrm>
          <a:graphic>
            <a:graphicData uri="http://schemas.microsoft.com/office/drawing/2010/slicer">
              <sle:slicer xmlns:sle="http://schemas.microsoft.com/office/drawing/2010/slicer" name="PT_FIRM"/>
            </a:graphicData>
          </a:graphic>
        </xdr:graphicFrame>
      </mc:Choice>
      <mc:Fallback xmlns="">
        <xdr:sp macro="" textlink="">
          <xdr:nvSpPr>
            <xdr:cNvPr id="0" name=""/>
            <xdr:cNvSpPr>
              <a:spLocks noTextEdit="1"/>
            </xdr:cNvSpPr>
          </xdr:nvSpPr>
          <xdr:spPr>
            <a:xfrm>
              <a:off x="9228320" y="921418"/>
              <a:ext cx="1277075" cy="17466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560294</xdr:colOff>
      <xdr:row>14</xdr:row>
      <xdr:rowOff>44823</xdr:rowOff>
    </xdr:from>
    <xdr:to>
      <xdr:col>17</xdr:col>
      <xdr:colOff>24983</xdr:colOff>
      <xdr:row>25</xdr:row>
      <xdr:rowOff>11206</xdr:rowOff>
    </xdr:to>
    <mc:AlternateContent xmlns:mc="http://schemas.openxmlformats.org/markup-compatibility/2006" xmlns:a14="http://schemas.microsoft.com/office/drawing/2010/main">
      <mc:Choice Requires="a14">
        <xdr:graphicFrame macro="">
          <xdr:nvGraphicFramePr>
            <xdr:cNvPr id="8" name="State">
              <a:extLst>
                <a:ext uri="{FF2B5EF4-FFF2-40B4-BE49-F238E27FC236}">
                  <a16:creationId xmlns:a16="http://schemas.microsoft.com/office/drawing/2014/main" id="{887C4ABC-B51A-4181-826F-F046DB476EAF}"/>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9217114" y="2668102"/>
              <a:ext cx="1300984" cy="20275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17016</xdr:rowOff>
    </xdr:from>
    <xdr:to>
      <xdr:col>2</xdr:col>
      <xdr:colOff>0</xdr:colOff>
      <xdr:row>17</xdr:row>
      <xdr:rowOff>104384</xdr:rowOff>
    </xdr:to>
    <mc:AlternateContent xmlns:mc="http://schemas.openxmlformats.org/markup-compatibility/2006" xmlns:a14="http://schemas.microsoft.com/office/drawing/2010/main">
      <mc:Choice Requires="a14">
        <xdr:graphicFrame macro="">
          <xdr:nvGraphicFramePr>
            <xdr:cNvPr id="10" name="Tax Rate">
              <a:extLst>
                <a:ext uri="{FF2B5EF4-FFF2-40B4-BE49-F238E27FC236}">
                  <a16:creationId xmlns:a16="http://schemas.microsoft.com/office/drawing/2014/main" id="{98B353C2-8774-B54D-F552-B2C6957DD723}"/>
                </a:ext>
              </a:extLst>
            </xdr:cNvPr>
            <xdr:cNvGraphicFramePr/>
          </xdr:nvGraphicFramePr>
          <xdr:xfrm>
            <a:off x="0" y="0"/>
            <a:ext cx="0" cy="0"/>
          </xdr:xfrm>
          <a:graphic>
            <a:graphicData uri="http://schemas.microsoft.com/office/drawing/2010/slicer">
              <sle:slicer xmlns:sle="http://schemas.microsoft.com/office/drawing/2010/slicer" name="Tax Rate"/>
            </a:graphicData>
          </a:graphic>
        </xdr:graphicFrame>
      </mc:Choice>
      <mc:Fallback xmlns="">
        <xdr:sp macro="" textlink="">
          <xdr:nvSpPr>
            <xdr:cNvPr id="0" name=""/>
            <xdr:cNvSpPr>
              <a:spLocks noTextEdit="1"/>
            </xdr:cNvSpPr>
          </xdr:nvSpPr>
          <xdr:spPr>
            <a:xfrm>
              <a:off x="0" y="1890786"/>
              <a:ext cx="1311639" cy="13990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10438</xdr:rowOff>
    </xdr:from>
    <xdr:to>
      <xdr:col>2</xdr:col>
      <xdr:colOff>11206</xdr:colOff>
      <xdr:row>10</xdr:row>
      <xdr:rowOff>31315</xdr:rowOff>
    </xdr:to>
    <mc:AlternateContent xmlns:mc="http://schemas.openxmlformats.org/markup-compatibility/2006" xmlns:a14="http://schemas.microsoft.com/office/drawing/2010/main">
      <mc:Choice Requires="a14">
        <xdr:graphicFrame macro="">
          <xdr:nvGraphicFramePr>
            <xdr:cNvPr id="11" name="Description of Goods">
              <a:extLst>
                <a:ext uri="{FF2B5EF4-FFF2-40B4-BE49-F238E27FC236}">
                  <a16:creationId xmlns:a16="http://schemas.microsoft.com/office/drawing/2014/main" id="{F402C767-38FF-84F0-29B9-B87DA0C5D7BC}"/>
                </a:ext>
              </a:extLst>
            </xdr:cNvPr>
            <xdr:cNvGraphicFramePr/>
          </xdr:nvGraphicFramePr>
          <xdr:xfrm>
            <a:off x="0" y="0"/>
            <a:ext cx="0" cy="0"/>
          </xdr:xfrm>
          <a:graphic>
            <a:graphicData uri="http://schemas.microsoft.com/office/drawing/2010/slicer">
              <sle:slicer xmlns:sle="http://schemas.microsoft.com/office/drawing/2010/slicer" name="Description of Goods"/>
            </a:graphicData>
          </a:graphic>
        </xdr:graphicFrame>
      </mc:Choice>
      <mc:Fallback xmlns="">
        <xdr:sp macro="" textlink="">
          <xdr:nvSpPr>
            <xdr:cNvPr id="0" name=""/>
            <xdr:cNvSpPr>
              <a:spLocks noTextEdit="1"/>
            </xdr:cNvSpPr>
          </xdr:nvSpPr>
          <xdr:spPr>
            <a:xfrm>
              <a:off x="0" y="947323"/>
              <a:ext cx="1322845" cy="9577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100854</xdr:rowOff>
    </xdr:from>
    <xdr:to>
      <xdr:col>2</xdr:col>
      <xdr:colOff>0</xdr:colOff>
      <xdr:row>25</xdr:row>
      <xdr:rowOff>1</xdr:rowOff>
    </xdr:to>
    <mc:AlternateContent xmlns:mc="http://schemas.openxmlformats.org/markup-compatibility/2006" xmlns:a14="http://schemas.microsoft.com/office/drawing/2010/main">
      <mc:Choice Requires="a14">
        <xdr:graphicFrame macro="">
          <xdr:nvGraphicFramePr>
            <xdr:cNvPr id="12" name="Months (Date)">
              <a:extLst>
                <a:ext uri="{FF2B5EF4-FFF2-40B4-BE49-F238E27FC236}">
                  <a16:creationId xmlns:a16="http://schemas.microsoft.com/office/drawing/2014/main" id="{AE090E24-9D87-45B6-DA3C-B13F6A73888E}"/>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0" y="3286264"/>
              <a:ext cx="1311639" cy="13981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268941</xdr:colOff>
      <xdr:row>0</xdr:row>
      <xdr:rowOff>0</xdr:rowOff>
    </xdr:from>
    <xdr:to>
      <xdr:col>16</xdr:col>
      <xdr:colOff>179294</xdr:colOff>
      <xdr:row>3</xdr:row>
      <xdr:rowOff>156883</xdr:rowOff>
    </xdr:to>
    <xdr:sp macro="" textlink="">
      <xdr:nvSpPr>
        <xdr:cNvPr id="13" name="TextBox 12">
          <a:extLst>
            <a:ext uri="{FF2B5EF4-FFF2-40B4-BE49-F238E27FC236}">
              <a16:creationId xmlns:a16="http://schemas.microsoft.com/office/drawing/2014/main" id="{A3098CF7-6444-7F41-56D7-6963BF13B91B}"/>
            </a:ext>
          </a:extLst>
        </xdr:cNvPr>
        <xdr:cNvSpPr txBox="1"/>
      </xdr:nvSpPr>
      <xdr:spPr>
        <a:xfrm>
          <a:off x="268941" y="0"/>
          <a:ext cx="9704294" cy="69476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400">
              <a:solidFill>
                <a:schemeClr val="bg1"/>
              </a:solidFill>
              <a:latin typeface="Algerian" panose="04020705040A02060702" pitchFamily="82" charset="0"/>
            </a:rPr>
            <a:t>SALES ANALYSIS</a:t>
          </a:r>
          <a:r>
            <a:rPr lang="en-IN" sz="4400" baseline="0">
              <a:solidFill>
                <a:schemeClr val="bg1"/>
              </a:solidFill>
              <a:latin typeface="Algerian" panose="04020705040A02060702" pitchFamily="82" charset="0"/>
            </a:rPr>
            <a:t> DASHBOARD</a:t>
          </a:r>
          <a:endParaRPr lang="en-IN" sz="4400">
            <a:solidFill>
              <a:schemeClr val="bg1"/>
            </a:solidFill>
            <a:latin typeface="Algerian" panose="04020705040A02060702" pitchFamily="82" charset="0"/>
          </a:endParaRPr>
        </a:p>
      </xdr:txBody>
    </xdr:sp>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dashboard.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ood" refreshedDate="43944.159847569441" createdVersion="5" refreshedVersion="5" minRefreshableVersion="3" recordCount="36" xr:uid="{00000000-000A-0000-FFFF-FFFF00000000}">
  <cacheSource type="worksheet">
    <worksheetSource ref="A1:P37" sheet="DATA" r:id="rId2"/>
  </cacheSource>
  <cacheFields count="16">
    <cacheField name="Firm Name " numFmtId="0">
      <sharedItems count="2">
        <s v="JK Enterprise"/>
        <s v="SR Hardware"/>
      </sharedItems>
    </cacheField>
    <cacheField name="State" numFmtId="0">
      <sharedItems count="2">
        <s v="Local"/>
        <s v="INTERSTATE"/>
      </sharedItems>
    </cacheField>
    <cacheField name="Invoice No." numFmtId="0">
      <sharedItems containsSemiMixedTypes="0" containsString="0" containsNumber="1" containsInteger="1" minValue="23" maxValue="58"/>
    </cacheField>
    <cacheField name="Date" numFmtId="14">
      <sharedItems containsSemiMixedTypes="0" containsNonDate="0" containsDate="1" containsString="0" minDate="2020-04-01T00:00:00" maxDate="2021-07-04T00:00:00" count="36">
        <d v="2020-04-01T00:00:00"/>
        <d v="2020-06-04T00:00:00"/>
        <d v="2020-07-04T00:00:00"/>
        <d v="2020-05-05T00:00:00"/>
        <d v="2020-06-05T00:00:00"/>
        <d v="2020-07-05T00:00:00"/>
        <d v="2020-05-06T00:00:00"/>
        <d v="2020-06-06T00:00:00"/>
        <d v="2020-07-06T00:00:00"/>
        <d v="2020-05-07T00:00:00"/>
        <d v="2020-06-07T00:00:00"/>
        <d v="2020-07-07T00:00:00"/>
        <d v="2020-05-08T00:00:00"/>
        <d v="2020-06-08T00:00:00"/>
        <d v="2020-07-08T00:00:00"/>
        <d v="2020-05-09T00:00:00"/>
        <d v="2020-06-09T00:00:00"/>
        <d v="2020-07-09T00:00:00"/>
        <d v="2020-05-10T00:00:00"/>
        <d v="2020-06-10T00:00:00"/>
        <d v="2020-07-10T00:00:00"/>
        <d v="2020-05-11T00:00:00"/>
        <d v="2020-06-11T00:00:00"/>
        <d v="2020-07-11T00:00:00"/>
        <d v="2020-05-12T00:00:00"/>
        <d v="2020-06-12T00:00:00"/>
        <d v="2020-07-12T00:00:00"/>
        <d v="2021-05-01T00:00:00"/>
        <d v="2021-06-01T00:00:00"/>
        <d v="2021-07-01T00:00:00"/>
        <d v="2021-05-02T00:00:00"/>
        <d v="2021-06-02T00:00:00"/>
        <d v="2021-07-02T00:00:00"/>
        <d v="2021-05-03T00:00:00"/>
        <d v="2021-06-03T00:00:00"/>
        <d v="2021-07-03T00:00:00"/>
      </sharedItems>
      <fieldGroup base="3">
        <rangePr groupBy="months" startDate="2020-04-01T00:00:00" endDate="2021-07-04T00:00:00"/>
        <groupItems count="14">
          <s v="&lt;01-04-2020"/>
          <s v="Jan"/>
          <s v="Feb"/>
          <s v="Mar"/>
          <s v="Apr"/>
          <s v="May"/>
          <s v="Jun"/>
          <s v="Jul"/>
          <s v="Aug"/>
          <s v="Sep"/>
          <s v="Oct"/>
          <s v="Nov"/>
          <s v="Dec"/>
          <s v="&gt;04-07-2021"/>
        </groupItems>
      </fieldGroup>
    </cacheField>
    <cacheField name="Tax Rate" numFmtId="10">
      <sharedItems containsSemiMixedTypes="0" containsString="0" containsNumber="1" minValue="0" maxValue="0.28000000000000003" count="7">
        <n v="0.18"/>
        <n v="0.12"/>
        <n v="0.03"/>
        <n v="0"/>
        <n v="0.28000000000000003"/>
        <n v="0.05"/>
        <n v="1E-3"/>
      </sharedItems>
    </cacheField>
    <cacheField name="Description of Goods" numFmtId="0">
      <sharedItems count="2">
        <s v="Plywood 6mm"/>
        <s v="Plywood 4mm"/>
      </sharedItems>
    </cacheField>
    <cacheField name="Qty" numFmtId="0">
      <sharedItems containsSemiMixedTypes="0" containsString="0" containsNumber="1" containsInteger="1" minValue="2" maxValue="62"/>
    </cacheField>
    <cacheField name="Unit" numFmtId="10">
      <sharedItems/>
    </cacheField>
    <cacheField name="Rate" numFmtId="4">
      <sharedItems containsSemiMixedTypes="0" containsString="0" containsNumber="1" containsInteger="1" minValue="1115" maxValue="2225"/>
    </cacheField>
    <cacheField name="Taxable Value" numFmtId="4">
      <sharedItems containsSemiMixedTypes="0" containsString="0" containsNumber="1" containsInteger="1" minValue="2230" maxValue="69130"/>
    </cacheField>
    <cacheField name="IGST" numFmtId="4">
      <sharedItems containsSemiMixedTypes="0" containsString="0" containsNumber="1" minValue="0" maxValue="8429.4"/>
    </cacheField>
    <cacheField name="CGST" numFmtId="4">
      <sharedItems containsSemiMixedTypes="0" containsString="0" containsNumber="1" minValue="0" maxValue="7805.0000000000009"/>
    </cacheField>
    <cacheField name="SGST" numFmtId="4">
      <sharedItems containsSemiMixedTypes="0" containsString="0" containsNumber="1" minValue="0" maxValue="7805.0000000000009"/>
    </cacheField>
    <cacheField name="CESS" numFmtId="4">
      <sharedItems containsNonDate="0" containsString="0" containsBlank="1"/>
    </cacheField>
    <cacheField name="TOTAL" numFmtId="4">
      <sharedItems containsSemiMixedTypes="0" containsString="0" containsNumber="1" minValue="2341.5" maxValue="72586.5"/>
    </cacheField>
    <cacheField name="INVOICE VALUE" numFmtId="4">
      <sharedItems containsSemiMixedTypes="0" containsString="0" containsNumber="1" minValue="2341.5" maxValue="72586.5"/>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 Sharma" refreshedDate="46050.649441319445" createdVersion="8" refreshedVersion="8" minRefreshableVersion="3" recordCount="36" xr:uid="{BEC22F97-DA8D-4972-B728-5A9B64376ADC}">
  <cacheSource type="worksheet">
    <worksheetSource name="Sales_Data"/>
  </cacheSource>
  <cacheFields count="19">
    <cacheField name="Firm Name " numFmtId="0">
      <sharedItems count="2">
        <s v="JK Enterprise"/>
        <s v="SR Hardware"/>
      </sharedItems>
    </cacheField>
    <cacheField name="State" numFmtId="0">
      <sharedItems count="2">
        <s v="Local"/>
        <s v="INTERSTATE"/>
      </sharedItems>
    </cacheField>
    <cacheField name="Invoice No." numFmtId="0">
      <sharedItems containsSemiMixedTypes="0" containsString="0" containsNumber="1" containsInteger="1" minValue="23" maxValue="58"/>
    </cacheField>
    <cacheField name="Date" numFmtId="14">
      <sharedItems containsSemiMixedTypes="0" containsNonDate="0" containsDate="1" containsString="0" minDate="2020-04-01T00:00:00" maxDate="2021-07-04T00:00:00" count="36">
        <d v="2020-04-01T00:00:00"/>
        <d v="2020-06-04T00:00:00"/>
        <d v="2020-07-04T00:00:00"/>
        <d v="2020-05-05T00:00:00"/>
        <d v="2020-06-05T00:00:00"/>
        <d v="2020-07-05T00:00:00"/>
        <d v="2020-05-06T00:00:00"/>
        <d v="2020-06-06T00:00:00"/>
        <d v="2020-07-06T00:00:00"/>
        <d v="2020-05-07T00:00:00"/>
        <d v="2020-06-07T00:00:00"/>
        <d v="2020-07-07T00:00:00"/>
        <d v="2020-05-08T00:00:00"/>
        <d v="2020-06-08T00:00:00"/>
        <d v="2020-07-08T00:00:00"/>
        <d v="2020-05-09T00:00:00"/>
        <d v="2020-06-09T00:00:00"/>
        <d v="2020-07-09T00:00:00"/>
        <d v="2020-05-10T00:00:00"/>
        <d v="2020-06-10T00:00:00"/>
        <d v="2020-07-10T00:00:00"/>
        <d v="2020-05-11T00:00:00"/>
        <d v="2020-06-11T00:00:00"/>
        <d v="2020-07-11T00:00:00"/>
        <d v="2020-05-12T00:00:00"/>
        <d v="2020-06-12T00:00:00"/>
        <d v="2020-07-12T00:00:00"/>
        <d v="2021-05-01T00:00:00"/>
        <d v="2021-06-01T00:00:00"/>
        <d v="2021-07-01T00:00:00"/>
        <d v="2021-05-02T00:00:00"/>
        <d v="2021-06-02T00:00:00"/>
        <d v="2021-07-02T00:00:00"/>
        <d v="2021-05-03T00:00:00"/>
        <d v="2021-06-03T00:00:00"/>
        <d v="2021-07-03T00:00:00"/>
      </sharedItems>
      <fieldGroup par="18"/>
    </cacheField>
    <cacheField name="Tax Rate" numFmtId="10">
      <sharedItems containsSemiMixedTypes="0" containsString="0" containsNumber="1" minValue="0" maxValue="0.28000000000000003" count="7">
        <n v="0.18"/>
        <n v="0.12"/>
        <n v="0.03"/>
        <n v="0"/>
        <n v="0.28000000000000003"/>
        <n v="0.05"/>
        <n v="1E-3"/>
      </sharedItems>
    </cacheField>
    <cacheField name="Description of Goods" numFmtId="0">
      <sharedItems count="2">
        <s v="Plywood 6mm"/>
        <s v="Plywood 4mm"/>
      </sharedItems>
    </cacheField>
    <cacheField name="Qty" numFmtId="0">
      <sharedItems containsSemiMixedTypes="0" containsString="0" containsNumber="1" containsInteger="1" minValue="2" maxValue="62"/>
    </cacheField>
    <cacheField name="Unit" numFmtId="10">
      <sharedItems/>
    </cacheField>
    <cacheField name="Rate" numFmtId="4">
      <sharedItems containsSemiMixedTypes="0" containsString="0" containsNumber="1" containsInteger="1" minValue="1115" maxValue="2225"/>
    </cacheField>
    <cacheField name="Taxable Value" numFmtId="4">
      <sharedItems containsSemiMixedTypes="0" containsString="0" containsNumber="1" containsInteger="1" minValue="2230" maxValue="69130"/>
    </cacheField>
    <cacheField name="IGST" numFmtId="4">
      <sharedItems containsSemiMixedTypes="0" containsString="0" containsNumber="1" minValue="0" maxValue="8429.4"/>
    </cacheField>
    <cacheField name="CGST" numFmtId="4">
      <sharedItems containsSemiMixedTypes="0" containsString="0" containsNumber="1" minValue="0" maxValue="7805.0000000000009"/>
    </cacheField>
    <cacheField name="SGST" numFmtId="4">
      <sharedItems containsSemiMixedTypes="0" containsString="0" containsNumber="1" minValue="0" maxValue="7805.0000000000009"/>
    </cacheField>
    <cacheField name="CESS" numFmtId="4">
      <sharedItems containsNonDate="0" containsString="0" containsBlank="1"/>
    </cacheField>
    <cacheField name="TOTAL" numFmtId="4">
      <sharedItems containsSemiMixedTypes="0" containsString="0" containsNumber="1" minValue="2341.5" maxValue="72586.5"/>
    </cacheField>
    <cacheField name="INVOICE VALUE" numFmtId="4">
      <sharedItems containsSemiMixedTypes="0" containsString="0" containsNumber="1" minValue="2341.5" maxValue="72586.5"/>
    </cacheField>
    <cacheField name="Months (Date)" numFmtId="0" databaseField="0">
      <fieldGroup base="3">
        <rangePr groupBy="months" startDate="2020-04-01T00:00:00" endDate="2021-07-04T00:00:00"/>
        <groupItems count="14">
          <s v="&lt;01-04-2020"/>
          <s v="Jan"/>
          <s v="Feb"/>
          <s v="Mar"/>
          <s v="Apr"/>
          <s v="May"/>
          <s v="Jun"/>
          <s v="Jul"/>
          <s v="Aug"/>
          <s v="Sep"/>
          <s v="Oct"/>
          <s v="Nov"/>
          <s v="Dec"/>
          <s v="&gt;04-07-2021"/>
        </groupItems>
      </fieldGroup>
    </cacheField>
    <cacheField name="Quarters (Date)" numFmtId="0" databaseField="0">
      <fieldGroup base="3">
        <rangePr groupBy="quarters" startDate="2020-04-01T00:00:00" endDate="2021-07-04T00:00:00"/>
        <groupItems count="6">
          <s v="&lt;01-04-2020"/>
          <s v="Qtr1"/>
          <s v="Qtr2"/>
          <s v="Qtr3"/>
          <s v="Qtr4"/>
          <s v="&gt;04-07-2021"/>
        </groupItems>
      </fieldGroup>
    </cacheField>
    <cacheField name="Years (Date)" numFmtId="0" databaseField="0">
      <fieldGroup base="3">
        <rangePr groupBy="years" startDate="2020-04-01T00:00:00" endDate="2021-07-04T00:00:00"/>
        <groupItems count="4">
          <s v="&lt;01-04-2020"/>
          <s v="2020"/>
          <s v="2021"/>
          <s v="&gt;04-07-2021"/>
        </groupItems>
      </fieldGroup>
    </cacheField>
  </cacheFields>
  <extLst>
    <ext xmlns:x14="http://schemas.microsoft.com/office/spreadsheetml/2009/9/main" uri="{725AE2AE-9491-48be-B2B4-4EB974FC3084}">
      <x14:pivotCacheDefinition pivotCacheId="730834064"/>
    </ext>
  </extLst>
</pivotCacheDefinition>
</file>

<file path=xl/pivotCache/pivotCacheRecords1.xml><?xml version="1.0" encoding="utf-8"?>
<pivotCacheRecords xmlns="http://schemas.openxmlformats.org/spreadsheetml/2006/main" xmlns:r="http://schemas.openxmlformats.org/officeDocument/2006/relationships" count="36">
  <r>
    <x v="0"/>
    <x v="0"/>
    <n v="23"/>
    <x v="0"/>
    <x v="0"/>
    <x v="0"/>
    <n v="8"/>
    <s v="PCS"/>
    <n v="2225"/>
    <n v="17800"/>
    <n v="0"/>
    <n v="1602"/>
    <n v="1602"/>
    <m/>
    <n v="21004"/>
    <n v="21004"/>
  </r>
  <r>
    <x v="0"/>
    <x v="0"/>
    <n v="24"/>
    <x v="1"/>
    <x v="1"/>
    <x v="1"/>
    <n v="2"/>
    <s v="PCS"/>
    <n v="1670"/>
    <n v="3340"/>
    <n v="0"/>
    <n v="200.4"/>
    <n v="200.4"/>
    <m/>
    <n v="3740.8"/>
    <n v="3740.8"/>
  </r>
  <r>
    <x v="0"/>
    <x v="0"/>
    <n v="25"/>
    <x v="2"/>
    <x v="2"/>
    <x v="0"/>
    <n v="10"/>
    <s v="PCS"/>
    <n v="1115"/>
    <n v="11150"/>
    <n v="0"/>
    <n v="167.25"/>
    <n v="167.25"/>
    <m/>
    <n v="11484.5"/>
    <n v="11484.5"/>
  </r>
  <r>
    <x v="0"/>
    <x v="1"/>
    <n v="26"/>
    <x v="3"/>
    <x v="3"/>
    <x v="1"/>
    <n v="3"/>
    <s v="PCS"/>
    <n v="1115"/>
    <n v="3345"/>
    <n v="0"/>
    <n v="0"/>
    <n v="0"/>
    <m/>
    <n v="3345"/>
    <n v="3345"/>
  </r>
  <r>
    <x v="0"/>
    <x v="0"/>
    <n v="27"/>
    <x v="4"/>
    <x v="4"/>
    <x v="0"/>
    <n v="4"/>
    <s v="PCS"/>
    <n v="1115"/>
    <n v="4460"/>
    <n v="0"/>
    <n v="624.40000000000009"/>
    <n v="624.40000000000009"/>
    <m/>
    <n v="5708.7999999999993"/>
    <n v="5708.7999999999993"/>
  </r>
  <r>
    <x v="0"/>
    <x v="0"/>
    <n v="28"/>
    <x v="5"/>
    <x v="5"/>
    <x v="1"/>
    <n v="24"/>
    <s v="PCS"/>
    <n v="1115"/>
    <n v="26760"/>
    <n v="0"/>
    <n v="669"/>
    <n v="669"/>
    <m/>
    <n v="28098"/>
    <n v="28098"/>
  </r>
  <r>
    <x v="0"/>
    <x v="0"/>
    <n v="29"/>
    <x v="6"/>
    <x v="6"/>
    <x v="0"/>
    <n v="30"/>
    <s v="PCS"/>
    <n v="1115"/>
    <n v="33450"/>
    <n v="0"/>
    <n v="16.725000000000001"/>
    <n v="16.725000000000001"/>
    <m/>
    <n v="33483.449999999997"/>
    <n v="33483.449999999997"/>
  </r>
  <r>
    <x v="0"/>
    <x v="0"/>
    <n v="30"/>
    <x v="7"/>
    <x v="2"/>
    <x v="1"/>
    <n v="12"/>
    <s v="PCS"/>
    <n v="1115"/>
    <n v="13380"/>
    <n v="0"/>
    <n v="200.7"/>
    <n v="200.7"/>
    <m/>
    <n v="13781.400000000001"/>
    <n v="13781.400000000001"/>
  </r>
  <r>
    <x v="1"/>
    <x v="0"/>
    <n v="31"/>
    <x v="8"/>
    <x v="0"/>
    <x v="0"/>
    <n v="17"/>
    <s v="PCS"/>
    <n v="1115"/>
    <n v="18955"/>
    <n v="0"/>
    <n v="1705.95"/>
    <n v="1705.95"/>
    <m/>
    <n v="22366.9"/>
    <n v="22366.9"/>
  </r>
  <r>
    <x v="1"/>
    <x v="0"/>
    <n v="32"/>
    <x v="9"/>
    <x v="6"/>
    <x v="1"/>
    <n v="16"/>
    <s v="PCS"/>
    <n v="1115"/>
    <n v="17840"/>
    <n v="0"/>
    <n v="8.92"/>
    <n v="8.92"/>
    <m/>
    <n v="17857.839999999997"/>
    <n v="17857.839999999997"/>
  </r>
  <r>
    <x v="1"/>
    <x v="0"/>
    <n v="33"/>
    <x v="10"/>
    <x v="4"/>
    <x v="0"/>
    <n v="50"/>
    <s v="PCS"/>
    <n v="1115"/>
    <n v="55750"/>
    <n v="0"/>
    <n v="7805.0000000000009"/>
    <n v="7805.0000000000009"/>
    <m/>
    <n v="71360"/>
    <n v="71360"/>
  </r>
  <r>
    <x v="1"/>
    <x v="0"/>
    <n v="34"/>
    <x v="11"/>
    <x v="3"/>
    <x v="1"/>
    <n v="21"/>
    <s v="PCS"/>
    <n v="1115"/>
    <n v="23415"/>
    <n v="0"/>
    <n v="0"/>
    <n v="0"/>
    <m/>
    <n v="23415"/>
    <n v="23415"/>
  </r>
  <r>
    <x v="0"/>
    <x v="1"/>
    <n v="35"/>
    <x v="12"/>
    <x v="5"/>
    <x v="0"/>
    <n v="25"/>
    <s v="PCS"/>
    <n v="1115"/>
    <n v="27875"/>
    <n v="1393.75"/>
    <n v="0"/>
    <n v="0"/>
    <m/>
    <n v="29268.75"/>
    <n v="29268.75"/>
  </r>
  <r>
    <x v="0"/>
    <x v="1"/>
    <n v="36"/>
    <x v="13"/>
    <x v="0"/>
    <x v="1"/>
    <n v="42"/>
    <s v="PCS"/>
    <n v="1115"/>
    <n v="46830"/>
    <n v="8429.4"/>
    <n v="0"/>
    <n v="0"/>
    <m/>
    <n v="55259.4"/>
    <n v="55259.4"/>
  </r>
  <r>
    <x v="0"/>
    <x v="0"/>
    <n v="37"/>
    <x v="14"/>
    <x v="6"/>
    <x v="0"/>
    <n v="32"/>
    <s v="PCS"/>
    <n v="1115"/>
    <n v="35680"/>
    <n v="0"/>
    <n v="17.84"/>
    <n v="17.84"/>
    <m/>
    <n v="35715.679999999993"/>
    <n v="35715.679999999993"/>
  </r>
  <r>
    <x v="0"/>
    <x v="0"/>
    <n v="38"/>
    <x v="15"/>
    <x v="3"/>
    <x v="1"/>
    <n v="10"/>
    <s v="PCS"/>
    <n v="1115"/>
    <n v="11150"/>
    <n v="0"/>
    <n v="0"/>
    <n v="0"/>
    <m/>
    <n v="11150"/>
    <n v="11150"/>
  </r>
  <r>
    <x v="0"/>
    <x v="0"/>
    <n v="39"/>
    <x v="16"/>
    <x v="4"/>
    <x v="0"/>
    <n v="20"/>
    <s v="PCS"/>
    <n v="1115"/>
    <n v="22300"/>
    <n v="0"/>
    <n v="3122.0000000000005"/>
    <n v="3122.0000000000005"/>
    <m/>
    <n v="28544"/>
    <n v="28544"/>
  </r>
  <r>
    <x v="1"/>
    <x v="0"/>
    <n v="40"/>
    <x v="17"/>
    <x v="1"/>
    <x v="1"/>
    <n v="30"/>
    <s v="PCS"/>
    <n v="1115"/>
    <n v="33450"/>
    <n v="0"/>
    <n v="2007"/>
    <n v="2007"/>
    <m/>
    <n v="37464"/>
    <n v="37464"/>
  </r>
  <r>
    <x v="1"/>
    <x v="1"/>
    <n v="41"/>
    <x v="18"/>
    <x v="2"/>
    <x v="0"/>
    <n v="45"/>
    <s v="PCS"/>
    <n v="1115"/>
    <n v="50175"/>
    <n v="1505.25"/>
    <n v="0"/>
    <n v="0"/>
    <m/>
    <n v="51680.25"/>
    <n v="51680.25"/>
  </r>
  <r>
    <x v="1"/>
    <x v="0"/>
    <n v="42"/>
    <x v="19"/>
    <x v="5"/>
    <x v="1"/>
    <n v="62"/>
    <s v="PCS"/>
    <n v="1115"/>
    <n v="69130"/>
    <n v="0"/>
    <n v="1728.25"/>
    <n v="1728.25"/>
    <m/>
    <n v="72586.5"/>
    <n v="72586.5"/>
  </r>
  <r>
    <x v="1"/>
    <x v="0"/>
    <n v="43"/>
    <x v="20"/>
    <x v="3"/>
    <x v="0"/>
    <n v="12"/>
    <s v="PCS"/>
    <n v="1115"/>
    <n v="13380"/>
    <n v="0"/>
    <n v="0"/>
    <n v="0"/>
    <m/>
    <n v="13380"/>
    <n v="13380"/>
  </r>
  <r>
    <x v="1"/>
    <x v="0"/>
    <n v="44"/>
    <x v="21"/>
    <x v="3"/>
    <x v="1"/>
    <n v="25"/>
    <s v="PCS"/>
    <n v="1115"/>
    <n v="27875"/>
    <n v="0"/>
    <n v="0"/>
    <n v="0"/>
    <m/>
    <n v="27875"/>
    <n v="27875"/>
  </r>
  <r>
    <x v="1"/>
    <x v="0"/>
    <n v="45"/>
    <x v="22"/>
    <x v="1"/>
    <x v="0"/>
    <n v="45"/>
    <s v="PCS"/>
    <n v="1115"/>
    <n v="50175"/>
    <n v="0"/>
    <n v="3010.5"/>
    <n v="3010.5"/>
    <m/>
    <n v="56196"/>
    <n v="56196"/>
  </r>
  <r>
    <x v="1"/>
    <x v="0"/>
    <n v="46"/>
    <x v="23"/>
    <x v="1"/>
    <x v="1"/>
    <n v="20"/>
    <s v="PCS"/>
    <n v="1115"/>
    <n v="22300"/>
    <n v="0"/>
    <n v="1338"/>
    <n v="1338"/>
    <m/>
    <n v="24976"/>
    <n v="24976"/>
  </r>
  <r>
    <x v="1"/>
    <x v="0"/>
    <n v="47"/>
    <x v="24"/>
    <x v="2"/>
    <x v="0"/>
    <n v="10"/>
    <s v="PCS"/>
    <n v="1115"/>
    <n v="11150"/>
    <n v="0"/>
    <n v="167.25"/>
    <n v="167.25"/>
    <m/>
    <n v="11484.5"/>
    <n v="11484.5"/>
  </r>
  <r>
    <x v="0"/>
    <x v="0"/>
    <n v="48"/>
    <x v="25"/>
    <x v="4"/>
    <x v="1"/>
    <n v="35"/>
    <s v="PCS"/>
    <n v="1115"/>
    <n v="39025"/>
    <n v="0"/>
    <n v="5463.5000000000009"/>
    <n v="5463.5000000000009"/>
    <m/>
    <n v="49952"/>
    <n v="49952"/>
  </r>
  <r>
    <x v="0"/>
    <x v="0"/>
    <n v="49"/>
    <x v="26"/>
    <x v="1"/>
    <x v="0"/>
    <n v="15"/>
    <s v="PCS"/>
    <n v="1115"/>
    <n v="16725"/>
    <n v="0"/>
    <n v="1003.5"/>
    <n v="1003.5"/>
    <m/>
    <n v="18732"/>
    <n v="18732"/>
  </r>
  <r>
    <x v="0"/>
    <x v="0"/>
    <n v="50"/>
    <x v="27"/>
    <x v="2"/>
    <x v="1"/>
    <n v="25"/>
    <s v="PCS"/>
    <n v="1115"/>
    <n v="27875"/>
    <n v="0"/>
    <n v="418.125"/>
    <n v="418.125"/>
    <m/>
    <n v="28711.25"/>
    <n v="28711.25"/>
  </r>
  <r>
    <x v="0"/>
    <x v="0"/>
    <n v="51"/>
    <x v="28"/>
    <x v="4"/>
    <x v="0"/>
    <n v="10"/>
    <s v="PCS"/>
    <n v="1115"/>
    <n v="11150"/>
    <n v="0"/>
    <n v="1561.0000000000002"/>
    <n v="1561.0000000000002"/>
    <m/>
    <n v="14272"/>
    <n v="14272"/>
  </r>
  <r>
    <x v="0"/>
    <x v="0"/>
    <n v="52"/>
    <x v="29"/>
    <x v="5"/>
    <x v="1"/>
    <n v="5"/>
    <s v="PCS"/>
    <n v="1115"/>
    <n v="5575"/>
    <n v="0"/>
    <n v="139.375"/>
    <n v="139.375"/>
    <m/>
    <n v="5853.75"/>
    <n v="5853.75"/>
  </r>
  <r>
    <x v="1"/>
    <x v="0"/>
    <n v="53"/>
    <x v="30"/>
    <x v="2"/>
    <x v="0"/>
    <n v="8"/>
    <s v="PCS"/>
    <n v="1115"/>
    <n v="8920"/>
    <n v="0"/>
    <n v="133.79999999999998"/>
    <n v="133.79999999999998"/>
    <m/>
    <n v="9187.5999999999985"/>
    <n v="9187.5999999999985"/>
  </r>
  <r>
    <x v="1"/>
    <x v="0"/>
    <n v="54"/>
    <x v="31"/>
    <x v="5"/>
    <x v="1"/>
    <n v="10"/>
    <s v="PCS"/>
    <n v="1115"/>
    <n v="11150"/>
    <n v="0"/>
    <n v="278.75"/>
    <n v="278.75"/>
    <m/>
    <n v="11707.5"/>
    <n v="11707.5"/>
  </r>
  <r>
    <x v="1"/>
    <x v="0"/>
    <n v="55"/>
    <x v="32"/>
    <x v="5"/>
    <x v="0"/>
    <n v="2"/>
    <s v="PCS"/>
    <n v="1115"/>
    <n v="2230"/>
    <n v="0"/>
    <n v="55.75"/>
    <n v="55.75"/>
    <m/>
    <n v="2341.5"/>
    <n v="2341.5"/>
  </r>
  <r>
    <x v="1"/>
    <x v="0"/>
    <n v="56"/>
    <x v="33"/>
    <x v="4"/>
    <x v="1"/>
    <n v="4"/>
    <s v="PCS"/>
    <n v="1115"/>
    <n v="4460"/>
    <n v="0"/>
    <n v="624.40000000000009"/>
    <n v="624.40000000000009"/>
    <m/>
    <n v="5708.7999999999993"/>
    <n v="5708.7999999999993"/>
  </r>
  <r>
    <x v="0"/>
    <x v="0"/>
    <n v="57"/>
    <x v="34"/>
    <x v="6"/>
    <x v="0"/>
    <n v="6"/>
    <s v="PCS"/>
    <n v="1115"/>
    <n v="6690"/>
    <n v="0"/>
    <n v="3.3450000000000002"/>
    <n v="3.3450000000000002"/>
    <m/>
    <n v="6696.6900000000005"/>
    <n v="6696.6900000000005"/>
  </r>
  <r>
    <x v="0"/>
    <x v="0"/>
    <n v="58"/>
    <x v="35"/>
    <x v="3"/>
    <x v="1"/>
    <n v="5"/>
    <s v="PCS"/>
    <n v="1115"/>
    <n v="5575"/>
    <n v="0"/>
    <n v="0"/>
    <n v="0"/>
    <m/>
    <n v="5575"/>
    <n v="557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x v="0"/>
    <n v="23"/>
    <x v="0"/>
    <x v="0"/>
    <x v="0"/>
    <n v="8"/>
    <s v="PCS"/>
    <n v="2225"/>
    <n v="17800"/>
    <n v="0"/>
    <n v="1602"/>
    <n v="1602"/>
    <m/>
    <n v="21004"/>
    <n v="21004"/>
  </r>
  <r>
    <x v="0"/>
    <x v="0"/>
    <n v="24"/>
    <x v="1"/>
    <x v="1"/>
    <x v="1"/>
    <n v="2"/>
    <s v="PCS"/>
    <n v="1670"/>
    <n v="3340"/>
    <n v="0"/>
    <n v="200.4"/>
    <n v="200.4"/>
    <m/>
    <n v="3740.8"/>
    <n v="3740.8"/>
  </r>
  <r>
    <x v="0"/>
    <x v="0"/>
    <n v="25"/>
    <x v="2"/>
    <x v="2"/>
    <x v="0"/>
    <n v="10"/>
    <s v="PCS"/>
    <n v="1115"/>
    <n v="11150"/>
    <n v="0"/>
    <n v="167.25"/>
    <n v="167.25"/>
    <m/>
    <n v="11484.5"/>
    <n v="11484.5"/>
  </r>
  <r>
    <x v="0"/>
    <x v="1"/>
    <n v="26"/>
    <x v="3"/>
    <x v="3"/>
    <x v="1"/>
    <n v="3"/>
    <s v="PCS"/>
    <n v="1115"/>
    <n v="3345"/>
    <n v="0"/>
    <n v="0"/>
    <n v="0"/>
    <m/>
    <n v="3345"/>
    <n v="3345"/>
  </r>
  <r>
    <x v="0"/>
    <x v="0"/>
    <n v="27"/>
    <x v="4"/>
    <x v="4"/>
    <x v="0"/>
    <n v="4"/>
    <s v="PCS"/>
    <n v="1115"/>
    <n v="4460"/>
    <n v="0"/>
    <n v="624.40000000000009"/>
    <n v="624.40000000000009"/>
    <m/>
    <n v="5708.7999999999993"/>
    <n v="5708.7999999999993"/>
  </r>
  <r>
    <x v="0"/>
    <x v="0"/>
    <n v="28"/>
    <x v="5"/>
    <x v="5"/>
    <x v="1"/>
    <n v="24"/>
    <s v="PCS"/>
    <n v="1115"/>
    <n v="26760"/>
    <n v="0"/>
    <n v="669"/>
    <n v="669"/>
    <m/>
    <n v="28098"/>
    <n v="28098"/>
  </r>
  <r>
    <x v="0"/>
    <x v="0"/>
    <n v="29"/>
    <x v="6"/>
    <x v="6"/>
    <x v="0"/>
    <n v="30"/>
    <s v="PCS"/>
    <n v="1115"/>
    <n v="33450"/>
    <n v="0"/>
    <n v="16.725000000000001"/>
    <n v="16.725000000000001"/>
    <m/>
    <n v="33483.449999999997"/>
    <n v="33483.449999999997"/>
  </r>
  <r>
    <x v="0"/>
    <x v="0"/>
    <n v="30"/>
    <x v="7"/>
    <x v="2"/>
    <x v="1"/>
    <n v="12"/>
    <s v="PCS"/>
    <n v="1115"/>
    <n v="13380"/>
    <n v="0"/>
    <n v="200.7"/>
    <n v="200.7"/>
    <m/>
    <n v="13781.400000000001"/>
    <n v="13781.400000000001"/>
  </r>
  <r>
    <x v="1"/>
    <x v="0"/>
    <n v="31"/>
    <x v="8"/>
    <x v="0"/>
    <x v="0"/>
    <n v="17"/>
    <s v="PCS"/>
    <n v="1115"/>
    <n v="18955"/>
    <n v="0"/>
    <n v="1705.95"/>
    <n v="1705.95"/>
    <m/>
    <n v="22366.9"/>
    <n v="22366.9"/>
  </r>
  <r>
    <x v="1"/>
    <x v="0"/>
    <n v="32"/>
    <x v="9"/>
    <x v="6"/>
    <x v="1"/>
    <n v="16"/>
    <s v="PCS"/>
    <n v="1115"/>
    <n v="17840"/>
    <n v="0"/>
    <n v="8.92"/>
    <n v="8.92"/>
    <m/>
    <n v="17857.839999999997"/>
    <n v="17857.839999999997"/>
  </r>
  <r>
    <x v="1"/>
    <x v="0"/>
    <n v="33"/>
    <x v="10"/>
    <x v="4"/>
    <x v="0"/>
    <n v="50"/>
    <s v="PCS"/>
    <n v="1115"/>
    <n v="55750"/>
    <n v="0"/>
    <n v="7805.0000000000009"/>
    <n v="7805.0000000000009"/>
    <m/>
    <n v="71360"/>
    <n v="71360"/>
  </r>
  <r>
    <x v="1"/>
    <x v="0"/>
    <n v="34"/>
    <x v="11"/>
    <x v="3"/>
    <x v="1"/>
    <n v="21"/>
    <s v="PCS"/>
    <n v="1115"/>
    <n v="23415"/>
    <n v="0"/>
    <n v="0"/>
    <n v="0"/>
    <m/>
    <n v="23415"/>
    <n v="23415"/>
  </r>
  <r>
    <x v="0"/>
    <x v="1"/>
    <n v="35"/>
    <x v="12"/>
    <x v="5"/>
    <x v="0"/>
    <n v="25"/>
    <s v="PCS"/>
    <n v="1115"/>
    <n v="27875"/>
    <n v="1393.75"/>
    <n v="0"/>
    <n v="0"/>
    <m/>
    <n v="29268.75"/>
    <n v="29268.75"/>
  </r>
  <r>
    <x v="0"/>
    <x v="1"/>
    <n v="36"/>
    <x v="13"/>
    <x v="0"/>
    <x v="1"/>
    <n v="42"/>
    <s v="PCS"/>
    <n v="1115"/>
    <n v="46830"/>
    <n v="8429.4"/>
    <n v="0"/>
    <n v="0"/>
    <m/>
    <n v="55259.4"/>
    <n v="55259.4"/>
  </r>
  <r>
    <x v="0"/>
    <x v="0"/>
    <n v="37"/>
    <x v="14"/>
    <x v="6"/>
    <x v="0"/>
    <n v="32"/>
    <s v="PCS"/>
    <n v="1115"/>
    <n v="35680"/>
    <n v="0"/>
    <n v="17.84"/>
    <n v="17.84"/>
    <m/>
    <n v="35715.679999999993"/>
    <n v="35715.679999999993"/>
  </r>
  <r>
    <x v="0"/>
    <x v="0"/>
    <n v="38"/>
    <x v="15"/>
    <x v="3"/>
    <x v="1"/>
    <n v="10"/>
    <s v="PCS"/>
    <n v="1115"/>
    <n v="11150"/>
    <n v="0"/>
    <n v="0"/>
    <n v="0"/>
    <m/>
    <n v="11150"/>
    <n v="11150"/>
  </r>
  <r>
    <x v="0"/>
    <x v="0"/>
    <n v="39"/>
    <x v="16"/>
    <x v="4"/>
    <x v="0"/>
    <n v="20"/>
    <s v="PCS"/>
    <n v="1115"/>
    <n v="22300"/>
    <n v="0"/>
    <n v="3122.0000000000005"/>
    <n v="3122.0000000000005"/>
    <m/>
    <n v="28544"/>
    <n v="28544"/>
  </r>
  <r>
    <x v="1"/>
    <x v="0"/>
    <n v="40"/>
    <x v="17"/>
    <x v="1"/>
    <x v="1"/>
    <n v="30"/>
    <s v="PCS"/>
    <n v="1115"/>
    <n v="33450"/>
    <n v="0"/>
    <n v="2007"/>
    <n v="2007"/>
    <m/>
    <n v="37464"/>
    <n v="37464"/>
  </r>
  <r>
    <x v="1"/>
    <x v="1"/>
    <n v="41"/>
    <x v="18"/>
    <x v="2"/>
    <x v="0"/>
    <n v="45"/>
    <s v="PCS"/>
    <n v="1115"/>
    <n v="50175"/>
    <n v="1505.25"/>
    <n v="0"/>
    <n v="0"/>
    <m/>
    <n v="51680.25"/>
    <n v="51680.25"/>
  </r>
  <r>
    <x v="1"/>
    <x v="0"/>
    <n v="42"/>
    <x v="19"/>
    <x v="5"/>
    <x v="1"/>
    <n v="62"/>
    <s v="PCS"/>
    <n v="1115"/>
    <n v="69130"/>
    <n v="0"/>
    <n v="1728.25"/>
    <n v="1728.25"/>
    <m/>
    <n v="72586.5"/>
    <n v="72586.5"/>
  </r>
  <r>
    <x v="1"/>
    <x v="0"/>
    <n v="43"/>
    <x v="20"/>
    <x v="3"/>
    <x v="0"/>
    <n v="12"/>
    <s v="PCS"/>
    <n v="1115"/>
    <n v="13380"/>
    <n v="0"/>
    <n v="0"/>
    <n v="0"/>
    <m/>
    <n v="13380"/>
    <n v="13380"/>
  </r>
  <r>
    <x v="1"/>
    <x v="0"/>
    <n v="44"/>
    <x v="21"/>
    <x v="3"/>
    <x v="1"/>
    <n v="25"/>
    <s v="PCS"/>
    <n v="1115"/>
    <n v="27875"/>
    <n v="0"/>
    <n v="0"/>
    <n v="0"/>
    <m/>
    <n v="27875"/>
    <n v="27875"/>
  </r>
  <r>
    <x v="1"/>
    <x v="0"/>
    <n v="45"/>
    <x v="22"/>
    <x v="1"/>
    <x v="0"/>
    <n v="45"/>
    <s v="PCS"/>
    <n v="1115"/>
    <n v="50175"/>
    <n v="0"/>
    <n v="3010.5"/>
    <n v="3010.5"/>
    <m/>
    <n v="56196"/>
    <n v="56196"/>
  </r>
  <r>
    <x v="1"/>
    <x v="0"/>
    <n v="46"/>
    <x v="23"/>
    <x v="1"/>
    <x v="1"/>
    <n v="20"/>
    <s v="PCS"/>
    <n v="1115"/>
    <n v="22300"/>
    <n v="0"/>
    <n v="1338"/>
    <n v="1338"/>
    <m/>
    <n v="24976"/>
    <n v="24976"/>
  </r>
  <r>
    <x v="1"/>
    <x v="0"/>
    <n v="47"/>
    <x v="24"/>
    <x v="2"/>
    <x v="0"/>
    <n v="10"/>
    <s v="PCS"/>
    <n v="1115"/>
    <n v="11150"/>
    <n v="0"/>
    <n v="167.25"/>
    <n v="167.25"/>
    <m/>
    <n v="11484.5"/>
    <n v="11484.5"/>
  </r>
  <r>
    <x v="0"/>
    <x v="0"/>
    <n v="48"/>
    <x v="25"/>
    <x v="4"/>
    <x v="1"/>
    <n v="35"/>
    <s v="PCS"/>
    <n v="1115"/>
    <n v="39025"/>
    <n v="0"/>
    <n v="5463.5000000000009"/>
    <n v="5463.5000000000009"/>
    <m/>
    <n v="49952"/>
    <n v="49952"/>
  </r>
  <r>
    <x v="0"/>
    <x v="0"/>
    <n v="49"/>
    <x v="26"/>
    <x v="1"/>
    <x v="0"/>
    <n v="15"/>
    <s v="PCS"/>
    <n v="1115"/>
    <n v="16725"/>
    <n v="0"/>
    <n v="1003.5"/>
    <n v="1003.5"/>
    <m/>
    <n v="18732"/>
    <n v="18732"/>
  </r>
  <r>
    <x v="0"/>
    <x v="0"/>
    <n v="50"/>
    <x v="27"/>
    <x v="2"/>
    <x v="1"/>
    <n v="25"/>
    <s v="PCS"/>
    <n v="1115"/>
    <n v="27875"/>
    <n v="0"/>
    <n v="418.125"/>
    <n v="418.125"/>
    <m/>
    <n v="28711.25"/>
    <n v="28711.25"/>
  </r>
  <r>
    <x v="0"/>
    <x v="0"/>
    <n v="51"/>
    <x v="28"/>
    <x v="4"/>
    <x v="0"/>
    <n v="10"/>
    <s v="PCS"/>
    <n v="1115"/>
    <n v="11150"/>
    <n v="0"/>
    <n v="1561.0000000000002"/>
    <n v="1561.0000000000002"/>
    <m/>
    <n v="14272"/>
    <n v="14272"/>
  </r>
  <r>
    <x v="0"/>
    <x v="0"/>
    <n v="52"/>
    <x v="29"/>
    <x v="5"/>
    <x v="1"/>
    <n v="5"/>
    <s v="PCS"/>
    <n v="1115"/>
    <n v="5575"/>
    <n v="0"/>
    <n v="139.375"/>
    <n v="139.375"/>
    <m/>
    <n v="5853.75"/>
    <n v="5853.75"/>
  </r>
  <r>
    <x v="1"/>
    <x v="0"/>
    <n v="53"/>
    <x v="30"/>
    <x v="2"/>
    <x v="0"/>
    <n v="8"/>
    <s v="PCS"/>
    <n v="1115"/>
    <n v="8920"/>
    <n v="0"/>
    <n v="133.79999999999998"/>
    <n v="133.79999999999998"/>
    <m/>
    <n v="9187.5999999999985"/>
    <n v="9187.5999999999985"/>
  </r>
  <r>
    <x v="1"/>
    <x v="0"/>
    <n v="54"/>
    <x v="31"/>
    <x v="5"/>
    <x v="1"/>
    <n v="10"/>
    <s v="PCS"/>
    <n v="1115"/>
    <n v="11150"/>
    <n v="0"/>
    <n v="278.75"/>
    <n v="278.75"/>
    <m/>
    <n v="11707.5"/>
    <n v="11707.5"/>
  </r>
  <r>
    <x v="1"/>
    <x v="0"/>
    <n v="55"/>
    <x v="32"/>
    <x v="5"/>
    <x v="0"/>
    <n v="2"/>
    <s v="PCS"/>
    <n v="1115"/>
    <n v="2230"/>
    <n v="0"/>
    <n v="55.75"/>
    <n v="55.75"/>
    <m/>
    <n v="2341.5"/>
    <n v="2341.5"/>
  </r>
  <r>
    <x v="1"/>
    <x v="0"/>
    <n v="56"/>
    <x v="33"/>
    <x v="4"/>
    <x v="1"/>
    <n v="4"/>
    <s v="PCS"/>
    <n v="1115"/>
    <n v="4460"/>
    <n v="0"/>
    <n v="624.40000000000009"/>
    <n v="624.40000000000009"/>
    <m/>
    <n v="5708.7999999999993"/>
    <n v="5708.7999999999993"/>
  </r>
  <r>
    <x v="0"/>
    <x v="0"/>
    <n v="57"/>
    <x v="34"/>
    <x v="6"/>
    <x v="0"/>
    <n v="6"/>
    <s v="PCS"/>
    <n v="1115"/>
    <n v="6690"/>
    <n v="0"/>
    <n v="3.3450000000000002"/>
    <n v="3.3450000000000002"/>
    <m/>
    <n v="6696.6900000000005"/>
    <n v="6696.6900000000005"/>
  </r>
  <r>
    <x v="0"/>
    <x v="0"/>
    <n v="58"/>
    <x v="35"/>
    <x v="3"/>
    <x v="1"/>
    <n v="5"/>
    <s v="PCS"/>
    <n v="1115"/>
    <n v="5575"/>
    <n v="0"/>
    <n v="0"/>
    <n v="0"/>
    <m/>
    <n v="5575"/>
    <n v="55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T_FIRM"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3">
  <location ref="A3:B6" firstHeaderRow="1" firstDataRow="1" firstDataCol="1"/>
  <pivotFields count="16">
    <pivotField axis="axisRow" showAll="0">
      <items count="3">
        <item x="0"/>
        <item x="1"/>
        <item t="default"/>
      </items>
    </pivotField>
    <pivotField showAll="0">
      <items count="3">
        <item x="1"/>
        <item x="0"/>
        <item t="default"/>
      </items>
    </pivotField>
    <pivotField showAll="0"/>
    <pivotField numFmtId="14" showAll="0">
      <items count="15">
        <item x="0"/>
        <item x="1"/>
        <item x="2"/>
        <item x="3"/>
        <item x="4"/>
        <item x="5"/>
        <item x="6"/>
        <item x="7"/>
        <item x="8"/>
        <item x="9"/>
        <item x="10"/>
        <item x="11"/>
        <item x="12"/>
        <item x="13"/>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s>
  <rowFields count="1">
    <field x="0"/>
  </rowFields>
  <rowItems count="3">
    <i>
      <x/>
    </i>
    <i>
      <x v="1"/>
    </i>
    <i t="grand">
      <x/>
    </i>
  </rowItems>
  <colItems count="1">
    <i/>
  </colItems>
  <dataFields count="1">
    <dataField name="Sum of TOTAL"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T_MTH"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4">
  <location ref="A3:B8" firstHeaderRow="1" firstDataRow="1" firstDataCol="1"/>
  <pivotFields count="16">
    <pivotField showAll="0">
      <items count="3">
        <item x="0"/>
        <item x="1"/>
        <item t="default"/>
      </items>
    </pivotField>
    <pivotField showAll="0">
      <items count="3">
        <item x="1"/>
        <item x="0"/>
        <item t="default"/>
      </items>
    </pivotField>
    <pivotField showAll="0"/>
    <pivotField axis="axisRow" numFmtId="14" showAll="0">
      <items count="15">
        <item x="0"/>
        <item x="1"/>
        <item x="2"/>
        <item x="3"/>
        <item x="4"/>
        <item x="5"/>
        <item x="6"/>
        <item x="7"/>
        <item x="8"/>
        <item x="9"/>
        <item x="10"/>
        <item x="11"/>
        <item x="12"/>
        <item x="13"/>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s>
  <rowFields count="1">
    <field x="3"/>
  </rowFields>
  <rowItems count="5">
    <i>
      <x v="4"/>
    </i>
    <i>
      <x v="5"/>
    </i>
    <i>
      <x v="6"/>
    </i>
    <i>
      <x v="7"/>
    </i>
    <i t="grand">
      <x/>
    </i>
  </rowItems>
  <colItems count="1">
    <i/>
  </colItems>
  <dataFields count="1">
    <dataField name="Sum of TOTAL" fld="14"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T_TAX"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5">
  <location ref="A3:F11" firstHeaderRow="0" firstDataRow="1" firstDataCol="1"/>
  <pivotFields count="16">
    <pivotField showAll="0">
      <items count="3">
        <item x="0"/>
        <item x="1"/>
        <item t="default"/>
      </items>
    </pivotField>
    <pivotField showAll="0">
      <items count="3">
        <item x="1"/>
        <item x="0"/>
        <item t="default"/>
      </items>
    </pivotField>
    <pivotField showAll="0"/>
    <pivotField numFmtId="14" showAll="0">
      <items count="15">
        <item x="0"/>
        <item x="1"/>
        <item x="2"/>
        <item x="3"/>
        <item x="4"/>
        <item x="5"/>
        <item x="6"/>
        <item x="7"/>
        <item x="8"/>
        <item x="9"/>
        <item x="10"/>
        <item x="11"/>
        <item x="12"/>
        <item x="13"/>
        <item t="default"/>
      </items>
    </pivotField>
    <pivotField axis="axisRow"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dataField="1" numFmtId="4" showAll="0"/>
    <pivotField dataField="1" numFmtId="4" showAll="0"/>
    <pivotField dataField="1" numFmtId="4" showAll="0"/>
    <pivotField dataField="1" showAll="0"/>
    <pivotField dataField="1" numFmtId="4" showAll="0"/>
    <pivotField numFmtId="4" showAll="0"/>
  </pivotFields>
  <rowFields count="1">
    <field x="4"/>
  </rowFields>
  <rowItems count="8">
    <i>
      <x/>
    </i>
    <i>
      <x v="1"/>
    </i>
    <i>
      <x v="2"/>
    </i>
    <i>
      <x v="3"/>
    </i>
    <i>
      <x v="4"/>
    </i>
    <i>
      <x v="5"/>
    </i>
    <i>
      <x v="6"/>
    </i>
    <i t="grand">
      <x/>
    </i>
  </rowItems>
  <colFields count="1">
    <field x="-2"/>
  </colFields>
  <colItems count="5">
    <i>
      <x/>
    </i>
    <i i="1">
      <x v="1"/>
    </i>
    <i i="2">
      <x v="2"/>
    </i>
    <i i="3">
      <x v="3"/>
    </i>
    <i i="4">
      <x v="4"/>
    </i>
  </colItems>
  <dataFields count="5">
    <dataField name="Sum of IGST" fld="10" baseField="0" baseItem="0"/>
    <dataField name="Sum of CGST" fld="11" baseField="0" baseItem="0"/>
    <dataField name="Sum of SGST" fld="12" baseField="0" baseItem="0"/>
    <dataField name="Count of CESS" fld="13" subtotal="count" baseField="0" baseItem="0"/>
    <dataField name="Sum of TOTAL" fld="14" baseField="0" baseItem="0"/>
  </dataFields>
  <chartFormats count="5">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 chart="3" format="7" series="1">
      <pivotArea type="data" outline="0" fieldPosition="0">
        <references count="1">
          <reference field="4294967294" count="1" selected="0">
            <x v="2"/>
          </reference>
        </references>
      </pivotArea>
    </chartFormat>
    <chartFormat chart="3" format="8" series="1">
      <pivotArea type="data" outline="0" fieldPosition="0">
        <references count="1">
          <reference field="4294967294" count="1" selected="0">
            <x v="3"/>
          </reference>
        </references>
      </pivotArea>
    </chartFormat>
    <chartFormat chart="3" format="9"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T_PRODUCT"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4">
  <location ref="A3:B6" firstHeaderRow="1" firstDataRow="1" firstDataCol="1"/>
  <pivotFields count="16">
    <pivotField showAll="0">
      <items count="3">
        <item x="0"/>
        <item x="1"/>
        <item t="default"/>
      </items>
    </pivotField>
    <pivotField showAll="0">
      <items count="3">
        <item x="1"/>
        <item x="0"/>
        <item t="default"/>
      </items>
    </pivotField>
    <pivotField showAll="0"/>
    <pivotField numFmtId="14" showAll="0">
      <items count="15">
        <item x="0"/>
        <item x="1"/>
        <item x="2"/>
        <item x="3"/>
        <item x="4"/>
        <item x="5"/>
        <item x="6"/>
        <item x="7"/>
        <item x="8"/>
        <item x="9"/>
        <item x="10"/>
        <item x="11"/>
        <item x="12"/>
        <item x="13"/>
        <item t="default"/>
      </items>
    </pivotField>
    <pivotField numFmtId="10" showAll="0">
      <items count="8">
        <item x="3"/>
        <item x="6"/>
        <item x="2"/>
        <item x="5"/>
        <item x="1"/>
        <item x="0"/>
        <item x="4"/>
        <item t="default"/>
      </items>
    </pivotField>
    <pivotField axis="axisRow"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s>
  <rowFields count="1">
    <field x="5"/>
  </rowFields>
  <rowItems count="3">
    <i>
      <x/>
    </i>
    <i>
      <x v="1"/>
    </i>
    <i t="grand">
      <x/>
    </i>
  </rowItems>
  <colItems count="1">
    <i/>
  </colItems>
  <dataFields count="1">
    <dataField name="Sum of TOTAL" fld="14"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5" count="1" selected="0">
            <x v="0"/>
          </reference>
        </references>
      </pivotArea>
    </chartFormat>
    <chartFormat chart="2"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CDADC1-72BD-4396-92AC-BC78EB50132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pivotFields count="19">
    <pivotField name="PT_FIRM" axis="axisRow" showAll="0">
      <items count="3">
        <item x="0"/>
        <item x="1"/>
        <item t="default"/>
      </items>
    </pivotField>
    <pivotField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3">
    <i>
      <x/>
    </i>
    <i>
      <x v="1"/>
    </i>
    <i t="grand">
      <x/>
    </i>
  </rowItems>
  <colItems count="1">
    <i/>
  </colItems>
  <dataFields count="1">
    <dataField name="Sum of TOTAL" fld="14" baseField="0" baseItem="0" numFmtId="4"/>
  </dataFields>
  <formats count="6">
    <format dxfId="43">
      <pivotArea type="all" dataOnly="0" outline="0" fieldPosition="0"/>
    </format>
    <format dxfId="42">
      <pivotArea outline="0" collapsedLevelsAreSubtotals="1" fieldPosition="0"/>
    </format>
    <format dxfId="41">
      <pivotArea field="0" type="button" dataOnly="0" labelOnly="1" outline="0" axis="axisRow" fieldPosition="0"/>
    </format>
    <format dxfId="40">
      <pivotArea dataOnly="0" labelOnly="1" fieldPosition="0">
        <references count="1">
          <reference field="0" count="0"/>
        </references>
      </pivotArea>
    </format>
    <format dxfId="39">
      <pivotArea dataOnly="0" labelOnly="1" grandRow="1" outline="0" fieldPosition="0"/>
    </format>
    <format dxfId="38">
      <pivotArea dataOnly="0" labelOnly="1" outline="0" axis="axisValues" fieldPosition="0"/>
    </format>
  </formats>
  <chartFormats count="3">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0" count="1" selected="0">
            <x v="0"/>
          </reference>
        </references>
      </pivotArea>
    </chartFormat>
    <chartFormat chart="8"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4DDBA8-42E5-48D8-840B-33BCEAE206D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9">
    <pivotField showAll="0">
      <items count="3">
        <item x="0"/>
        <item x="1"/>
        <item t="default"/>
      </items>
    </pivotField>
    <pivotField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name="PT_MONTH"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6"/>
  </rowFields>
  <rowItems count="5">
    <i>
      <x v="4"/>
    </i>
    <i>
      <x v="5"/>
    </i>
    <i>
      <x v="6"/>
    </i>
    <i>
      <x v="7"/>
    </i>
    <i t="grand">
      <x/>
    </i>
  </rowItems>
  <colItems count="1">
    <i/>
  </colItems>
  <dataFields count="1">
    <dataField name="PT_MONTH" fld="14" baseField="0" baseItem="0" numFmtId="4"/>
  </dataFields>
  <formats count="6">
    <format dxfId="37">
      <pivotArea type="all" dataOnly="0" outline="0" fieldPosition="0"/>
    </format>
    <format dxfId="36">
      <pivotArea outline="0" collapsedLevelsAreSubtotals="1" fieldPosition="0"/>
    </format>
    <format dxfId="35">
      <pivotArea field="16" type="button" dataOnly="0" labelOnly="1" outline="0" axis="axisRow" fieldPosition="0"/>
    </format>
    <format dxfId="34">
      <pivotArea dataOnly="0" labelOnly="1" fieldPosition="0">
        <references count="1">
          <reference field="16" count="4">
            <x v="4"/>
            <x v="5"/>
            <x v="6"/>
            <x v="7"/>
          </reference>
        </references>
      </pivotArea>
    </format>
    <format dxfId="33">
      <pivotArea dataOnly="0" labelOnly="1" grandRow="1" outline="0" fieldPosition="0"/>
    </format>
    <format dxfId="32">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FD1F472-87C9-4894-9CF5-8A930EB8194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E11" firstHeaderRow="0" firstDataRow="1" firstDataCol="1"/>
  <pivotFields count="19">
    <pivotField showAll="0">
      <items count="3">
        <item x="0"/>
        <item x="1"/>
        <item t="default"/>
      </items>
    </pivotField>
    <pivotField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ame="PT_TAX" axis="axisRow"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dataField="1" numFmtId="4" showAll="0"/>
    <pivotField dataField="1" numFmtId="4" showAll="0"/>
    <pivotField dataField="1" numFmtId="4" showAll="0"/>
    <pivotField showAll="0"/>
    <pivotField dataField="1" numFmtId="4" showAll="0"/>
    <pivotField numFmtId="4"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4"/>
  </rowFields>
  <rowItems count="8">
    <i>
      <x/>
    </i>
    <i>
      <x v="1"/>
    </i>
    <i>
      <x v="2"/>
    </i>
    <i>
      <x v="3"/>
    </i>
    <i>
      <x v="4"/>
    </i>
    <i>
      <x v="5"/>
    </i>
    <i>
      <x v="6"/>
    </i>
    <i t="grand">
      <x/>
    </i>
  </rowItems>
  <colFields count="1">
    <field x="-2"/>
  </colFields>
  <colItems count="4">
    <i>
      <x/>
    </i>
    <i i="1">
      <x v="1"/>
    </i>
    <i i="2">
      <x v="2"/>
    </i>
    <i i="3">
      <x v="3"/>
    </i>
  </colItems>
  <dataFields count="4">
    <dataField name="Sum of IGST" fld="10" baseField="0" baseItem="0" numFmtId="4"/>
    <dataField name="Sum of CGST" fld="11" baseField="0" baseItem="0" numFmtId="4"/>
    <dataField name="Sum of SGST" fld="12" baseField="0" baseItem="0" numFmtId="4"/>
    <dataField name="Sum of TOTAL" fld="14" baseField="0" baseItem="0" numFmtId="4"/>
  </dataFields>
  <chartFormats count="4">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4" format="10" series="1">
      <pivotArea type="data" outline="0" fieldPosition="0">
        <references count="1">
          <reference field="4294967294" count="1" selected="0">
            <x v="2"/>
          </reference>
        </references>
      </pivotArea>
    </chartFormat>
    <chartFormat chart="4"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8D7FF81-38C7-497F-A7D7-1C7FFAD17EB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19">
    <pivotField showAll="0">
      <items count="3">
        <item x="0"/>
        <item x="1"/>
        <item t="default"/>
      </items>
    </pivotField>
    <pivotField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items count="8">
        <item x="3"/>
        <item x="6"/>
        <item x="2"/>
        <item x="5"/>
        <item x="1"/>
        <item x="0"/>
        <item x="4"/>
        <item t="default"/>
      </items>
    </pivotField>
    <pivotField name="PT_PRODUCT" axis="axisRow"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5"/>
  </rowFields>
  <rowItems count="3">
    <i>
      <x/>
    </i>
    <i>
      <x v="1"/>
    </i>
    <i t="grand">
      <x/>
    </i>
  </rowItems>
  <colItems count="1">
    <i/>
  </colItems>
  <dataFields count="1">
    <dataField name="Sum of TOTAL" fld="14" baseField="0" baseItem="0" numFmtId="4"/>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5" count="1" selected="0">
            <x v="0"/>
          </reference>
        </references>
      </pivotArea>
    </chartFormat>
    <chartFormat chart="4"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A435107-68DA-4D0A-94D8-84B80B630D5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19">
    <pivotField showAll="0">
      <items count="3">
        <item x="0"/>
        <item x="1"/>
        <item t="default"/>
      </items>
    </pivotField>
    <pivotField name="PT_STATE" axis="axisRow" showAll="0">
      <items count="3">
        <item x="1"/>
        <item x="0"/>
        <item t="default"/>
      </items>
    </pivotField>
    <pivotField showAll="0"/>
    <pivotField numFmtId="14" showAll="0">
      <items count="37">
        <item x="0"/>
        <item x="3"/>
        <item x="6"/>
        <item x="9"/>
        <item x="12"/>
        <item x="15"/>
        <item x="18"/>
        <item x="21"/>
        <item x="24"/>
        <item x="1"/>
        <item x="4"/>
        <item x="7"/>
        <item x="10"/>
        <item x="13"/>
        <item x="16"/>
        <item x="19"/>
        <item x="22"/>
        <item x="25"/>
        <item x="2"/>
        <item x="5"/>
        <item x="8"/>
        <item x="11"/>
        <item x="14"/>
        <item x="17"/>
        <item x="20"/>
        <item x="23"/>
        <item x="26"/>
        <item x="27"/>
        <item x="30"/>
        <item x="33"/>
        <item x="28"/>
        <item x="31"/>
        <item x="34"/>
        <item x="29"/>
        <item x="32"/>
        <item x="35"/>
        <item t="default"/>
      </items>
    </pivotField>
    <pivotField numFmtId="10" showAll="0">
      <items count="8">
        <item x="3"/>
        <item x="6"/>
        <item x="2"/>
        <item x="5"/>
        <item x="1"/>
        <item x="0"/>
        <item x="4"/>
        <item t="default"/>
      </items>
    </pivotField>
    <pivotField showAll="0">
      <items count="3">
        <item x="1"/>
        <item x="0"/>
        <item t="default"/>
      </items>
    </pivotField>
    <pivotField showAll="0"/>
    <pivotField showAll="0"/>
    <pivotField numFmtId="4" showAll="0"/>
    <pivotField numFmtId="4" showAll="0"/>
    <pivotField numFmtId="4" showAll="0"/>
    <pivotField numFmtId="4" showAll="0"/>
    <pivotField numFmtId="4" showAll="0"/>
    <pivotField showAll="0"/>
    <pivotField dataField="1" numFmtId="4" showAll="0"/>
    <pivotField numFmtId="4"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1"/>
  </rowFields>
  <rowItems count="3">
    <i>
      <x/>
    </i>
    <i>
      <x v="1"/>
    </i>
    <i t="grand">
      <x/>
    </i>
  </rowItems>
  <colItems count="1">
    <i/>
  </colItems>
  <dataFields count="1">
    <dataField name="Sum of TOTAL" fld="14" baseField="0" baseItem="0" numFmtId="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rm_Name" xr10:uid="{2582D049-68D2-4443-B740-A75CEEE4BA59}" sourceName="Firm Name ">
  <pivotTables>
    <pivotTable tabId="8" name="PivotTable1"/>
    <pivotTable tabId="9" name="PivotTable2"/>
    <pivotTable tabId="11" name="PivotTable1"/>
    <pivotTable tabId="12" name="PivotTable2"/>
    <pivotTable tabId="10" name="PivotTable3"/>
  </pivotTables>
  <data>
    <tabular pivotCacheId="73083406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20F5F9CB-93FF-40D5-B333-EC33AA02054B}" sourceName="State">
  <pivotTables>
    <pivotTable tabId="8" name="PivotTable1"/>
    <pivotTable tabId="9" name="PivotTable2"/>
    <pivotTable tabId="11" name="PivotTable1"/>
    <pivotTable tabId="12" name="PivotTable2"/>
    <pivotTable tabId="10" name="PivotTable3"/>
  </pivotTables>
  <data>
    <tabular pivotCacheId="730834064">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x_Rate" xr10:uid="{47E0BBD3-264F-4F33-B51C-BC79D24604B3}" sourceName="Tax Rate">
  <pivotTables>
    <pivotTable tabId="8" name="PivotTable1"/>
    <pivotTable tabId="9" name="PivotTable2"/>
    <pivotTable tabId="11" name="PivotTable1"/>
    <pivotTable tabId="12" name="PivotTable2"/>
    <pivotTable tabId="10" name="PivotTable3"/>
  </pivotTables>
  <data>
    <tabular pivotCacheId="730834064">
      <items count="7">
        <i x="3" s="1"/>
        <i x="6" s="1"/>
        <i x="2" s="1"/>
        <i x="5" s="1"/>
        <i x="1" s="1"/>
        <i x="0"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ription_of_Goods" xr10:uid="{02868488-95EB-4CAC-898A-F66754089395}" sourceName="Description of Goods">
  <pivotTables>
    <pivotTable tabId="8" name="PivotTable1"/>
    <pivotTable tabId="9" name="PivotTable2"/>
    <pivotTable tabId="11" name="PivotTable1"/>
    <pivotTable tabId="12" name="PivotTable2"/>
    <pivotTable tabId="10" name="PivotTable3"/>
  </pivotTables>
  <data>
    <tabular pivotCacheId="730834064">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14A9903A-92FD-45A8-9110-FC57A7A4EE56}" sourceName="Months (Date)">
  <pivotTables>
    <pivotTable tabId="11" name="PivotTable1"/>
    <pivotTable tabId="8" name="PivotTable1"/>
    <pivotTable tabId="9" name="PivotTable2"/>
    <pivotTable tabId="12" name="PivotTable2"/>
    <pivotTable tabId="10" name="PivotTable3"/>
  </pivotTables>
  <data>
    <tabular pivotCacheId="730834064">
      <items count="14">
        <i x="4" s="1"/>
        <i x="5" s="1"/>
        <i x="6" s="1"/>
        <i x="7" s="1"/>
        <i x="1" s="1" nd="1"/>
        <i x="2" s="1" nd="1"/>
        <i x="3" s="1" nd="1"/>
        <i x="8"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T_FIRM" xr10:uid="{BA22DEE3-6458-4707-9A5F-B7CC5BDAA279}" cache="Slicer_Firm_Name" caption="Firms" rowHeight="234950"/>
  <slicer name="State" xr10:uid="{0593BE70-C483-4110-92EE-D47C09365E9B}" cache="Slicer_State" caption="State" rowHeight="234950"/>
  <slicer name="Tax Rate" xr10:uid="{7A62232D-9D24-407E-9F83-5571FE9EF5CC}" cache="Slicer_Tax_Rate" caption="GST Rate" startItem="3" rowHeight="234950"/>
  <slicer name="Description of Goods" xr10:uid="{FED128C5-6712-4A32-B275-B06CDEF7C876}" cache="Slicer_Description_of_Goods" caption="Products" rowHeight="234950"/>
  <slicer name="Months (Date)" xr10:uid="{A33B7EF5-F3C2-4F89-8058-B87AD5FB0D13}" cache="Slicer_Months__Date" caption="Months (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040B52-F3BF-4D5B-96BC-4A9C83A7E54A}" name="Sales_Data" displayName="Sales_Data" ref="A1:P37" totalsRowShown="0" headerRowDxfId="31" dataDxfId="30" tableBorderDxfId="29" dataCellStyle="40% - Accent6">
  <autoFilter ref="A1:P37" xr:uid="{75040B52-F3BF-4D5B-96BC-4A9C83A7E54A}"/>
  <tableColumns count="16">
    <tableColumn id="1" xr3:uid="{41FFC499-D9D2-42CA-9AD3-AB78A695BEB6}" name="Firm Name " dataDxfId="28" dataCellStyle="40% - Accent6"/>
    <tableColumn id="2" xr3:uid="{F3294E89-2BF4-472B-A0DE-7B288BFF618A}" name="State" dataDxfId="27" dataCellStyle="40% - Accent6"/>
    <tableColumn id="3" xr3:uid="{F269BCD0-BB24-464F-B6E7-40CBF735B88E}" name="Invoice No." dataDxfId="26" dataCellStyle="40% - Accent6"/>
    <tableColumn id="4" xr3:uid="{D71825A8-6CA0-4993-B874-AD4CAB7615AE}" name="Date" dataDxfId="25" dataCellStyle="40% - Accent6"/>
    <tableColumn id="5" xr3:uid="{58826C12-75E1-43FC-BCA5-8DF012051816}" name="Tax Rate" dataDxfId="24" dataCellStyle="40% - Accent6"/>
    <tableColumn id="6" xr3:uid="{FB961F0C-15D4-4000-A3B4-BD51AC07DC21}" name="Description of Goods" dataDxfId="23" dataCellStyle="40% - Accent6"/>
    <tableColumn id="7" xr3:uid="{FFE66F03-F8FB-4CF8-9614-2A21E814B874}" name="Qty" dataDxfId="22" dataCellStyle="40% - Accent6"/>
    <tableColumn id="8" xr3:uid="{BF984FAE-2162-479D-919F-532C800B4546}" name="Unit" dataDxfId="21" dataCellStyle="40% - Accent6"/>
    <tableColumn id="9" xr3:uid="{58440B59-D421-4110-B9DD-869B256AE153}" name="Rate" dataDxfId="20" dataCellStyle="40% - Accent6"/>
    <tableColumn id="10" xr3:uid="{C0827B07-1A0A-4BEC-85FA-60C5F9F4C8A9}" name="Taxable Value" dataDxfId="19"/>
    <tableColumn id="11" xr3:uid="{D09700E5-F190-444D-B1D0-1EE24E686BED}" name="IGST" dataDxfId="18" dataCellStyle="40% - Accent6"/>
    <tableColumn id="12" xr3:uid="{3A06E323-D840-43A6-A28C-9BA8BED7E6FF}" name="CGST" dataDxfId="17" dataCellStyle="40% - Accent6"/>
    <tableColumn id="13" xr3:uid="{F4F96326-3058-4E19-BDF8-BBD868D02053}" name="SGST" dataDxfId="16" dataCellStyle="40% - Accent6"/>
    <tableColumn id="14" xr3:uid="{E7D69973-E92C-4CE5-8A14-36CDAE7596E1}" name="CESS" dataDxfId="15" dataCellStyle="40% - Accent6"/>
    <tableColumn id="15" xr3:uid="{DB81AE2E-4AFC-4D26-8ED7-5DDE455D8CE0}" name="TOTAL" dataDxfId="14" dataCellStyle="40% - Accent6"/>
    <tableColumn id="16" xr3:uid="{E885E501-B2DF-4DA3-A152-53638C63CFD9}" name="INVOICE VALUE" dataDxf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B6"/>
  <sheetViews>
    <sheetView workbookViewId="0">
      <selection activeCell="H10" sqref="H10"/>
    </sheetView>
  </sheetViews>
  <sheetFormatPr defaultRowHeight="14.4" x14ac:dyDescent="0.3"/>
  <cols>
    <col min="1" max="1" width="12.5546875" bestFit="1" customWidth="1"/>
    <col min="2" max="2" width="12.88671875" bestFit="1" customWidth="1"/>
  </cols>
  <sheetData>
    <row r="3" spans="1:2" x14ac:dyDescent="0.3">
      <c r="A3" s="1" t="s">
        <v>24</v>
      </c>
      <c r="B3" t="s">
        <v>26</v>
      </c>
    </row>
    <row r="4" spans="1:2" x14ac:dyDescent="0.3">
      <c r="A4" s="2" t="s">
        <v>16</v>
      </c>
      <c r="B4">
        <v>410376.47000000003</v>
      </c>
    </row>
    <row r="5" spans="1:2" x14ac:dyDescent="0.3">
      <c r="A5" s="2" t="s">
        <v>22</v>
      </c>
      <c r="B5">
        <v>459587.38999999996</v>
      </c>
    </row>
    <row r="6" spans="1:2" x14ac:dyDescent="0.3">
      <c r="A6" s="2" t="s">
        <v>25</v>
      </c>
      <c r="B6">
        <v>869963.86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3:B8"/>
  <sheetViews>
    <sheetView workbookViewId="0">
      <selection activeCell="M9" sqref="M9"/>
    </sheetView>
  </sheetViews>
  <sheetFormatPr defaultRowHeight="14.4" x14ac:dyDescent="0.3"/>
  <cols>
    <col min="1" max="1" width="12.5546875" bestFit="1" customWidth="1"/>
    <col min="2" max="2" width="12.88671875" bestFit="1" customWidth="1"/>
  </cols>
  <sheetData>
    <row r="3" spans="1:2" x14ac:dyDescent="0.3">
      <c r="A3" s="1" t="s">
        <v>24</v>
      </c>
      <c r="B3" t="s">
        <v>26</v>
      </c>
    </row>
    <row r="4" spans="1:2" x14ac:dyDescent="0.3">
      <c r="A4" s="3" t="s">
        <v>27</v>
      </c>
      <c r="B4">
        <v>21004</v>
      </c>
    </row>
    <row r="5" spans="1:2" x14ac:dyDescent="0.3">
      <c r="A5" s="3" t="s">
        <v>28</v>
      </c>
      <c r="B5">
        <v>229752.43999999997</v>
      </c>
    </row>
    <row r="6" spans="1:2" x14ac:dyDescent="0.3">
      <c r="A6" s="3" t="s">
        <v>29</v>
      </c>
      <c r="B6">
        <v>389805.09</v>
      </c>
    </row>
    <row r="7" spans="1:2" x14ac:dyDescent="0.3">
      <c r="A7" s="3" t="s">
        <v>30</v>
      </c>
      <c r="B7">
        <v>229402.33</v>
      </c>
    </row>
    <row r="8" spans="1:2" x14ac:dyDescent="0.3">
      <c r="A8" s="3" t="s">
        <v>25</v>
      </c>
      <c r="B8">
        <v>869963.86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3:F11"/>
  <sheetViews>
    <sheetView workbookViewId="0">
      <selection activeCell="H25" sqref="H25"/>
    </sheetView>
  </sheetViews>
  <sheetFormatPr defaultRowHeight="14.4" x14ac:dyDescent="0.3"/>
  <cols>
    <col min="1" max="1" width="12.5546875" bestFit="1" customWidth="1"/>
    <col min="2" max="2" width="11.21875" bestFit="1" customWidth="1"/>
    <col min="3" max="3" width="11.77734375" bestFit="1" customWidth="1"/>
    <col min="4" max="4" width="11.6640625" bestFit="1" customWidth="1"/>
    <col min="5" max="6" width="12.88671875" bestFit="1" customWidth="1"/>
  </cols>
  <sheetData>
    <row r="3" spans="1:6" x14ac:dyDescent="0.3">
      <c r="A3" s="1" t="s">
        <v>24</v>
      </c>
      <c r="B3" t="s">
        <v>31</v>
      </c>
      <c r="C3" t="s">
        <v>32</v>
      </c>
      <c r="D3" t="s">
        <v>33</v>
      </c>
      <c r="E3" t="s">
        <v>34</v>
      </c>
      <c r="F3" t="s">
        <v>26</v>
      </c>
    </row>
    <row r="4" spans="1:6" x14ac:dyDescent="0.3">
      <c r="A4" s="4">
        <v>0</v>
      </c>
      <c r="B4">
        <v>0</v>
      </c>
      <c r="C4">
        <v>0</v>
      </c>
      <c r="D4">
        <v>0</v>
      </c>
      <c r="F4">
        <v>84740</v>
      </c>
    </row>
    <row r="5" spans="1:6" x14ac:dyDescent="0.3">
      <c r="A5" s="4">
        <v>1E-3</v>
      </c>
      <c r="B5">
        <v>0</v>
      </c>
      <c r="C5">
        <v>46.83</v>
      </c>
      <c r="D5">
        <v>46.83</v>
      </c>
      <c r="F5">
        <v>93753.659999999989</v>
      </c>
    </row>
    <row r="6" spans="1:6" x14ac:dyDescent="0.3">
      <c r="A6" s="4">
        <v>0.03</v>
      </c>
      <c r="B6">
        <v>1505.25</v>
      </c>
      <c r="C6">
        <v>1087.125</v>
      </c>
      <c r="D6">
        <v>1087.125</v>
      </c>
      <c r="F6">
        <v>126329.5</v>
      </c>
    </row>
    <row r="7" spans="1:6" x14ac:dyDescent="0.3">
      <c r="A7" s="4">
        <v>0.05</v>
      </c>
      <c r="B7">
        <v>1393.75</v>
      </c>
      <c r="C7">
        <v>2871.125</v>
      </c>
      <c r="D7">
        <v>2871.125</v>
      </c>
      <c r="F7">
        <v>149856</v>
      </c>
    </row>
    <row r="8" spans="1:6" x14ac:dyDescent="0.3">
      <c r="A8" s="4">
        <v>0.12</v>
      </c>
      <c r="B8">
        <v>0</v>
      </c>
      <c r="C8">
        <v>7559.4</v>
      </c>
      <c r="D8">
        <v>7559.4</v>
      </c>
      <c r="F8">
        <v>141108.79999999999</v>
      </c>
    </row>
    <row r="9" spans="1:6" x14ac:dyDescent="0.3">
      <c r="A9" s="4">
        <v>0.18</v>
      </c>
      <c r="B9">
        <v>8429.4</v>
      </c>
      <c r="C9">
        <v>3307.95</v>
      </c>
      <c r="D9">
        <v>3307.95</v>
      </c>
      <c r="F9">
        <v>98630.3</v>
      </c>
    </row>
    <row r="10" spans="1:6" x14ac:dyDescent="0.3">
      <c r="A10" s="4">
        <v>0.28000000000000003</v>
      </c>
      <c r="B10">
        <v>0</v>
      </c>
      <c r="C10">
        <v>19200.300000000003</v>
      </c>
      <c r="D10">
        <v>19200.300000000003</v>
      </c>
      <c r="F10">
        <v>175545.59999999998</v>
      </c>
    </row>
    <row r="11" spans="1:6" x14ac:dyDescent="0.3">
      <c r="A11" s="4" t="s">
        <v>25</v>
      </c>
      <c r="B11">
        <v>11328.4</v>
      </c>
      <c r="C11">
        <v>34072.730000000003</v>
      </c>
      <c r="D11">
        <v>34072.730000000003</v>
      </c>
      <c r="F11">
        <v>869963.8600000001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3:B6"/>
  <sheetViews>
    <sheetView workbookViewId="0">
      <selection activeCell="J9" sqref="J9"/>
    </sheetView>
  </sheetViews>
  <sheetFormatPr defaultRowHeight="14.4" x14ac:dyDescent="0.3"/>
  <cols>
    <col min="1" max="1" width="12.5546875" bestFit="1" customWidth="1"/>
    <col min="2" max="2" width="12.88671875" bestFit="1" customWidth="1"/>
  </cols>
  <sheetData>
    <row r="3" spans="1:2" x14ac:dyDescent="0.3">
      <c r="A3" s="1" t="s">
        <v>24</v>
      </c>
      <c r="B3" t="s">
        <v>26</v>
      </c>
    </row>
    <row r="4" spans="1:2" x14ac:dyDescent="0.3">
      <c r="A4" s="2" t="s">
        <v>20</v>
      </c>
      <c r="B4">
        <v>427057.24</v>
      </c>
    </row>
    <row r="5" spans="1:2" x14ac:dyDescent="0.3">
      <c r="A5" s="2" t="s">
        <v>18</v>
      </c>
      <c r="B5">
        <v>442906.61999999994</v>
      </c>
    </row>
    <row r="6" spans="1:2" x14ac:dyDescent="0.3">
      <c r="A6" s="2" t="s">
        <v>25</v>
      </c>
      <c r="B6">
        <v>869963.85999999987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08ABA-21B4-47AF-99AB-B964B5DBEB8E}">
  <dimension ref="A3:B6"/>
  <sheetViews>
    <sheetView topLeftCell="BZ1" workbookViewId="0">
      <selection activeCell="I4" sqref="I4"/>
    </sheetView>
  </sheetViews>
  <sheetFormatPr defaultRowHeight="14.4" x14ac:dyDescent="0.3"/>
  <cols>
    <col min="1" max="1" width="15.109375" customWidth="1"/>
    <col min="2" max="2" width="15.88671875" bestFit="1" customWidth="1"/>
  </cols>
  <sheetData>
    <row r="3" spans="1:2" ht="18" x14ac:dyDescent="0.35">
      <c r="A3" s="29" t="s">
        <v>24</v>
      </c>
      <c r="B3" s="30" t="s">
        <v>26</v>
      </c>
    </row>
    <row r="4" spans="1:2" ht="18" x14ac:dyDescent="0.35">
      <c r="A4" s="31" t="s">
        <v>16</v>
      </c>
      <c r="B4" s="32">
        <v>410376.47000000003</v>
      </c>
    </row>
    <row r="5" spans="1:2" ht="18" x14ac:dyDescent="0.35">
      <c r="A5" s="31" t="s">
        <v>22</v>
      </c>
      <c r="B5" s="32">
        <v>459587.38999999996</v>
      </c>
    </row>
    <row r="6" spans="1:2" ht="18" x14ac:dyDescent="0.35">
      <c r="A6" s="31" t="s">
        <v>25</v>
      </c>
      <c r="B6" s="32">
        <v>869963.86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C00E2-7874-44F5-8672-987E0D176C73}">
  <dimension ref="A3:B8"/>
  <sheetViews>
    <sheetView workbookViewId="0">
      <selection activeCell="G21" sqref="G21"/>
    </sheetView>
  </sheetViews>
  <sheetFormatPr defaultRowHeight="14.4" x14ac:dyDescent="0.3"/>
  <cols>
    <col min="1" max="1" width="15.109375" bestFit="1" customWidth="1"/>
    <col min="2" max="2" width="13.77734375" bestFit="1" customWidth="1"/>
  </cols>
  <sheetData>
    <row r="3" spans="1:2" ht="18" x14ac:dyDescent="0.35">
      <c r="A3" s="29" t="s">
        <v>24</v>
      </c>
      <c r="B3" s="30" t="s">
        <v>41</v>
      </c>
    </row>
    <row r="4" spans="1:2" ht="18" x14ac:dyDescent="0.35">
      <c r="A4" s="31" t="s">
        <v>27</v>
      </c>
      <c r="B4" s="32">
        <v>21004</v>
      </c>
    </row>
    <row r="5" spans="1:2" ht="18" x14ac:dyDescent="0.35">
      <c r="A5" s="31" t="s">
        <v>28</v>
      </c>
      <c r="B5" s="32">
        <v>229752.43999999997</v>
      </c>
    </row>
    <row r="6" spans="1:2" ht="18" x14ac:dyDescent="0.35">
      <c r="A6" s="31" t="s">
        <v>29</v>
      </c>
      <c r="B6" s="32">
        <v>389805.09</v>
      </c>
    </row>
    <row r="7" spans="1:2" ht="18" x14ac:dyDescent="0.35">
      <c r="A7" s="31" t="s">
        <v>30</v>
      </c>
      <c r="B7" s="32">
        <v>229402.33</v>
      </c>
    </row>
    <row r="8" spans="1:2" ht="18" x14ac:dyDescent="0.35">
      <c r="A8" s="31" t="s">
        <v>25</v>
      </c>
      <c r="B8" s="32">
        <v>869963.86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F56F4-C3C7-4D6F-A6C7-0A27289B8D5C}">
  <dimension ref="A3:E11"/>
  <sheetViews>
    <sheetView zoomScale="74" workbookViewId="0">
      <selection activeCell="K9" sqref="I9:K12"/>
    </sheetView>
  </sheetViews>
  <sheetFormatPr defaultRowHeight="14.4" x14ac:dyDescent="0.3"/>
  <cols>
    <col min="1" max="1" width="13.88671875" bestFit="1" customWidth="1"/>
    <col min="2" max="2" width="11.6640625" bestFit="1" customWidth="1"/>
    <col min="3" max="4" width="12.109375" bestFit="1" customWidth="1"/>
    <col min="5" max="6" width="13.21875" bestFit="1" customWidth="1"/>
  </cols>
  <sheetData>
    <row r="3" spans="1:5" x14ac:dyDescent="0.3">
      <c r="A3" s="1" t="s">
        <v>24</v>
      </c>
      <c r="B3" t="s">
        <v>31</v>
      </c>
      <c r="C3" t="s">
        <v>32</v>
      </c>
      <c r="D3" t="s">
        <v>33</v>
      </c>
      <c r="E3" t="s">
        <v>26</v>
      </c>
    </row>
    <row r="4" spans="1:5" x14ac:dyDescent="0.3">
      <c r="A4" s="4">
        <v>0</v>
      </c>
      <c r="B4" s="28">
        <v>0</v>
      </c>
      <c r="C4" s="28">
        <v>0</v>
      </c>
      <c r="D4" s="28">
        <v>0</v>
      </c>
      <c r="E4" s="28">
        <v>84740</v>
      </c>
    </row>
    <row r="5" spans="1:5" x14ac:dyDescent="0.3">
      <c r="A5" s="4">
        <v>1E-3</v>
      </c>
      <c r="B5" s="28">
        <v>0</v>
      </c>
      <c r="C5" s="28">
        <v>46.83</v>
      </c>
      <c r="D5" s="28">
        <v>46.83</v>
      </c>
      <c r="E5" s="28">
        <v>93753.659999999989</v>
      </c>
    </row>
    <row r="6" spans="1:5" x14ac:dyDescent="0.3">
      <c r="A6" s="4">
        <v>0.03</v>
      </c>
      <c r="B6" s="28">
        <v>1505.25</v>
      </c>
      <c r="C6" s="28">
        <v>1087.125</v>
      </c>
      <c r="D6" s="28">
        <v>1087.125</v>
      </c>
      <c r="E6" s="28">
        <v>126329.5</v>
      </c>
    </row>
    <row r="7" spans="1:5" x14ac:dyDescent="0.3">
      <c r="A7" s="4">
        <v>0.05</v>
      </c>
      <c r="B7" s="28">
        <v>1393.75</v>
      </c>
      <c r="C7" s="28">
        <v>2871.125</v>
      </c>
      <c r="D7" s="28">
        <v>2871.125</v>
      </c>
      <c r="E7" s="28">
        <v>149856</v>
      </c>
    </row>
    <row r="8" spans="1:5" x14ac:dyDescent="0.3">
      <c r="A8" s="4">
        <v>0.12</v>
      </c>
      <c r="B8" s="28">
        <v>0</v>
      </c>
      <c r="C8" s="28">
        <v>7559.4</v>
      </c>
      <c r="D8" s="28">
        <v>7559.4</v>
      </c>
      <c r="E8" s="28">
        <v>141108.79999999999</v>
      </c>
    </row>
    <row r="9" spans="1:5" x14ac:dyDescent="0.3">
      <c r="A9" s="4">
        <v>0.18</v>
      </c>
      <c r="B9" s="28">
        <v>8429.4</v>
      </c>
      <c r="C9" s="28">
        <v>3307.95</v>
      </c>
      <c r="D9" s="28">
        <v>3307.95</v>
      </c>
      <c r="E9" s="28">
        <v>98630.3</v>
      </c>
    </row>
    <row r="10" spans="1:5" x14ac:dyDescent="0.3">
      <c r="A10" s="4">
        <v>0.28000000000000003</v>
      </c>
      <c r="B10" s="28">
        <v>0</v>
      </c>
      <c r="C10" s="28">
        <v>19200.300000000003</v>
      </c>
      <c r="D10" s="28">
        <v>19200.300000000003</v>
      </c>
      <c r="E10" s="28">
        <v>175545.59999999998</v>
      </c>
    </row>
    <row r="11" spans="1:5" x14ac:dyDescent="0.3">
      <c r="A11" s="4" t="s">
        <v>25</v>
      </c>
      <c r="B11" s="28">
        <v>11328.4</v>
      </c>
      <c r="C11" s="28">
        <v>34072.730000000003</v>
      </c>
      <c r="D11" s="28">
        <v>34072.730000000003</v>
      </c>
      <c r="E11" s="28">
        <v>869963.86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1BD8F-2BFF-4B8F-9579-6B74CAFFB06C}">
  <dimension ref="A3:B6"/>
  <sheetViews>
    <sheetView workbookViewId="0">
      <selection activeCell="K12" sqref="K12"/>
    </sheetView>
  </sheetViews>
  <sheetFormatPr defaultRowHeight="14.4" x14ac:dyDescent="0.3"/>
  <cols>
    <col min="1" max="1" width="12.5546875" bestFit="1" customWidth="1"/>
    <col min="2" max="2" width="12.88671875" bestFit="1" customWidth="1"/>
  </cols>
  <sheetData>
    <row r="3" spans="1:2" x14ac:dyDescent="0.3">
      <c r="A3" s="1" t="s">
        <v>24</v>
      </c>
      <c r="B3" t="s">
        <v>26</v>
      </c>
    </row>
    <row r="4" spans="1:2" x14ac:dyDescent="0.3">
      <c r="A4" s="2" t="s">
        <v>20</v>
      </c>
      <c r="B4" s="28">
        <v>427057.24</v>
      </c>
    </row>
    <row r="5" spans="1:2" x14ac:dyDescent="0.3">
      <c r="A5" s="2" t="s">
        <v>18</v>
      </c>
      <c r="B5" s="28">
        <v>442906.61999999994</v>
      </c>
    </row>
    <row r="6" spans="1:2" x14ac:dyDescent="0.3">
      <c r="A6" s="2" t="s">
        <v>25</v>
      </c>
      <c r="B6" s="28">
        <v>869963.85999999987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BB8A6-C0FD-4B24-BEDE-04801D738FD7}">
  <dimension ref="A3:B6"/>
  <sheetViews>
    <sheetView workbookViewId="0">
      <selection activeCell="K5" sqref="K5"/>
    </sheetView>
  </sheetViews>
  <sheetFormatPr defaultRowHeight="14.4" x14ac:dyDescent="0.3"/>
  <cols>
    <col min="1" max="1" width="12.5546875" bestFit="1" customWidth="1"/>
    <col min="2" max="2" width="12.88671875" bestFit="1" customWidth="1"/>
  </cols>
  <sheetData>
    <row r="3" spans="1:2" x14ac:dyDescent="0.3">
      <c r="A3" s="1" t="s">
        <v>24</v>
      </c>
      <c r="B3" t="s">
        <v>26</v>
      </c>
    </row>
    <row r="4" spans="1:2" x14ac:dyDescent="0.3">
      <c r="A4" s="2" t="s">
        <v>21</v>
      </c>
      <c r="B4" s="28">
        <v>139553.4</v>
      </c>
    </row>
    <row r="5" spans="1:2" x14ac:dyDescent="0.3">
      <c r="A5" s="2" t="s">
        <v>17</v>
      </c>
      <c r="B5" s="28">
        <v>730410.46</v>
      </c>
    </row>
    <row r="6" spans="1:2" x14ac:dyDescent="0.3">
      <c r="A6" s="2" t="s">
        <v>25</v>
      </c>
      <c r="B6" s="28">
        <v>869963.86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P37"/>
  <sheetViews>
    <sheetView topLeftCell="A2" zoomScale="85" zoomScaleNormal="85" workbookViewId="0">
      <selection activeCell="A9" sqref="A9"/>
    </sheetView>
  </sheetViews>
  <sheetFormatPr defaultRowHeight="14.4" x14ac:dyDescent="0.3"/>
  <cols>
    <col min="1" max="1" width="16.33203125" customWidth="1"/>
    <col min="2" max="2" width="12.88671875" bestFit="1" customWidth="1"/>
    <col min="3" max="3" width="16.109375" customWidth="1"/>
    <col min="4" max="4" width="13.88671875" customWidth="1"/>
    <col min="5" max="5" width="13" customWidth="1"/>
    <col min="6" max="6" width="27.33203125" customWidth="1"/>
    <col min="7" max="7" width="8.44140625" customWidth="1"/>
    <col min="8" max="8" width="8.5546875" customWidth="1"/>
    <col min="9" max="9" width="10.88671875" customWidth="1"/>
    <col min="10" max="10" width="19" customWidth="1"/>
    <col min="11" max="11" width="9.5546875" bestFit="1" customWidth="1"/>
    <col min="12" max="12" width="10.44140625" customWidth="1"/>
    <col min="13" max="13" width="10.5546875" customWidth="1"/>
    <col min="14" max="14" width="8.5546875" customWidth="1"/>
    <col min="15" max="15" width="12.5546875" customWidth="1"/>
    <col min="16" max="16" width="20.5546875" customWidth="1"/>
  </cols>
  <sheetData>
    <row r="1" spans="1:16" ht="18" x14ac:dyDescent="0.3">
      <c r="A1" s="24" t="s">
        <v>0</v>
      </c>
      <c r="B1" s="25" t="s">
        <v>1</v>
      </c>
      <c r="C1" s="25" t="s">
        <v>2</v>
      </c>
      <c r="D1" s="25" t="s">
        <v>3</v>
      </c>
      <c r="E1" s="26" t="s">
        <v>4</v>
      </c>
      <c r="F1" s="26" t="s">
        <v>5</v>
      </c>
      <c r="G1" s="26" t="s">
        <v>6</v>
      </c>
      <c r="H1" s="26" t="s">
        <v>7</v>
      </c>
      <c r="I1" s="26" t="s">
        <v>8</v>
      </c>
      <c r="J1" s="27" t="s">
        <v>9</v>
      </c>
      <c r="K1" s="27" t="s">
        <v>10</v>
      </c>
      <c r="L1" s="27" t="s">
        <v>11</v>
      </c>
      <c r="M1" s="27" t="s">
        <v>12</v>
      </c>
      <c r="N1" s="27" t="s">
        <v>13</v>
      </c>
      <c r="O1" s="27" t="s">
        <v>14</v>
      </c>
      <c r="P1" s="25" t="s">
        <v>15</v>
      </c>
    </row>
    <row r="2" spans="1:16" ht="15.6" x14ac:dyDescent="0.3">
      <c r="A2" s="22" t="s">
        <v>16</v>
      </c>
      <c r="B2" s="6" t="s">
        <v>17</v>
      </c>
      <c r="C2" s="6">
        <v>23</v>
      </c>
      <c r="D2" s="7">
        <v>43922</v>
      </c>
      <c r="E2" s="8">
        <v>0.18</v>
      </c>
      <c r="F2" s="6" t="s">
        <v>18</v>
      </c>
      <c r="G2" s="6">
        <v>8</v>
      </c>
      <c r="H2" s="8" t="s">
        <v>19</v>
      </c>
      <c r="I2" s="9">
        <v>2225</v>
      </c>
      <c r="J2" s="10">
        <v>17800</v>
      </c>
      <c r="K2" s="11">
        <v>0</v>
      </c>
      <c r="L2" s="11">
        <v>1602</v>
      </c>
      <c r="M2" s="11">
        <v>1602</v>
      </c>
      <c r="N2" s="11"/>
      <c r="O2" s="11">
        <v>21004</v>
      </c>
      <c r="P2" s="10">
        <v>21004</v>
      </c>
    </row>
    <row r="3" spans="1:16" ht="15.6" x14ac:dyDescent="0.3">
      <c r="A3" s="23" t="s">
        <v>16</v>
      </c>
      <c r="B3" s="12" t="s">
        <v>17</v>
      </c>
      <c r="C3" s="12">
        <v>24</v>
      </c>
      <c r="D3" s="13">
        <v>43986</v>
      </c>
      <c r="E3" s="14">
        <v>0.12</v>
      </c>
      <c r="F3" s="12" t="s">
        <v>20</v>
      </c>
      <c r="G3" s="12">
        <v>2</v>
      </c>
      <c r="H3" s="14" t="s">
        <v>19</v>
      </c>
      <c r="I3" s="15">
        <v>1670</v>
      </c>
      <c r="J3" s="16">
        <v>3340</v>
      </c>
      <c r="K3" s="17">
        <v>0</v>
      </c>
      <c r="L3" s="17">
        <v>200.4</v>
      </c>
      <c r="M3" s="17">
        <v>200.4</v>
      </c>
      <c r="N3" s="17"/>
      <c r="O3" s="17">
        <v>3740.8</v>
      </c>
      <c r="P3" s="16">
        <v>3740.8</v>
      </c>
    </row>
    <row r="4" spans="1:16" ht="15.6" x14ac:dyDescent="0.3">
      <c r="A4" s="22" t="s">
        <v>16</v>
      </c>
      <c r="B4" s="6" t="s">
        <v>17</v>
      </c>
      <c r="C4" s="6">
        <v>25</v>
      </c>
      <c r="D4" s="7">
        <v>44016</v>
      </c>
      <c r="E4" s="8">
        <v>0.03</v>
      </c>
      <c r="F4" s="6" t="s">
        <v>18</v>
      </c>
      <c r="G4" s="6">
        <v>10</v>
      </c>
      <c r="H4" s="8" t="s">
        <v>19</v>
      </c>
      <c r="I4" s="9">
        <v>1115</v>
      </c>
      <c r="J4" s="10">
        <v>11150</v>
      </c>
      <c r="K4" s="11">
        <v>0</v>
      </c>
      <c r="L4" s="11">
        <v>167.25</v>
      </c>
      <c r="M4" s="11">
        <v>167.25</v>
      </c>
      <c r="N4" s="11"/>
      <c r="O4" s="11">
        <v>11484.5</v>
      </c>
      <c r="P4" s="10">
        <v>11484.5</v>
      </c>
    </row>
    <row r="5" spans="1:16" ht="15.6" x14ac:dyDescent="0.3">
      <c r="A5" s="23" t="s">
        <v>16</v>
      </c>
      <c r="B5" s="12" t="s">
        <v>21</v>
      </c>
      <c r="C5" s="12">
        <v>26</v>
      </c>
      <c r="D5" s="13">
        <v>43956</v>
      </c>
      <c r="E5" s="14">
        <v>0</v>
      </c>
      <c r="F5" s="12" t="s">
        <v>20</v>
      </c>
      <c r="G5" s="12">
        <v>3</v>
      </c>
      <c r="H5" s="14" t="s">
        <v>19</v>
      </c>
      <c r="I5" s="15">
        <v>1115</v>
      </c>
      <c r="J5" s="16">
        <v>3345</v>
      </c>
      <c r="K5" s="17">
        <v>0</v>
      </c>
      <c r="L5" s="17">
        <v>0</v>
      </c>
      <c r="M5" s="17">
        <v>0</v>
      </c>
      <c r="N5" s="17"/>
      <c r="O5" s="17">
        <v>3345</v>
      </c>
      <c r="P5" s="16">
        <v>3345</v>
      </c>
    </row>
    <row r="6" spans="1:16" ht="15.6" x14ac:dyDescent="0.3">
      <c r="A6" s="22" t="s">
        <v>16</v>
      </c>
      <c r="B6" s="6" t="s">
        <v>17</v>
      </c>
      <c r="C6" s="6">
        <v>27</v>
      </c>
      <c r="D6" s="7">
        <v>43987</v>
      </c>
      <c r="E6" s="8">
        <v>0.28000000000000003</v>
      </c>
      <c r="F6" s="6" t="s">
        <v>18</v>
      </c>
      <c r="G6" s="6">
        <v>4</v>
      </c>
      <c r="H6" s="8" t="s">
        <v>19</v>
      </c>
      <c r="I6" s="9">
        <v>1115</v>
      </c>
      <c r="J6" s="10">
        <v>4460</v>
      </c>
      <c r="K6" s="11">
        <v>0</v>
      </c>
      <c r="L6" s="11">
        <v>624.40000000000009</v>
      </c>
      <c r="M6" s="11">
        <v>624.40000000000009</v>
      </c>
      <c r="N6" s="11"/>
      <c r="O6" s="11">
        <v>5708.7999999999993</v>
      </c>
      <c r="P6" s="10">
        <v>5708.7999999999993</v>
      </c>
    </row>
    <row r="7" spans="1:16" ht="15.6" x14ac:dyDescent="0.3">
      <c r="A7" s="23" t="s">
        <v>16</v>
      </c>
      <c r="B7" s="12" t="s">
        <v>17</v>
      </c>
      <c r="C7" s="12">
        <v>28</v>
      </c>
      <c r="D7" s="13">
        <v>44017</v>
      </c>
      <c r="E7" s="14">
        <v>0.05</v>
      </c>
      <c r="F7" s="12" t="s">
        <v>20</v>
      </c>
      <c r="G7" s="12">
        <v>24</v>
      </c>
      <c r="H7" s="14" t="s">
        <v>19</v>
      </c>
      <c r="I7" s="15">
        <v>1115</v>
      </c>
      <c r="J7" s="16">
        <v>26760</v>
      </c>
      <c r="K7" s="17">
        <v>0</v>
      </c>
      <c r="L7" s="17">
        <v>669</v>
      </c>
      <c r="M7" s="17">
        <v>669</v>
      </c>
      <c r="N7" s="17"/>
      <c r="O7" s="17">
        <v>28098</v>
      </c>
      <c r="P7" s="16">
        <v>28098</v>
      </c>
    </row>
    <row r="8" spans="1:16" ht="15.6" x14ac:dyDescent="0.3">
      <c r="A8" s="22" t="s">
        <v>16</v>
      </c>
      <c r="B8" s="6" t="s">
        <v>17</v>
      </c>
      <c r="C8" s="6">
        <v>29</v>
      </c>
      <c r="D8" s="7">
        <v>43957</v>
      </c>
      <c r="E8" s="8">
        <v>1E-3</v>
      </c>
      <c r="F8" s="6" t="s">
        <v>18</v>
      </c>
      <c r="G8" s="6">
        <v>30</v>
      </c>
      <c r="H8" s="8" t="s">
        <v>19</v>
      </c>
      <c r="I8" s="9">
        <v>1115</v>
      </c>
      <c r="J8" s="10">
        <v>33450</v>
      </c>
      <c r="K8" s="11">
        <v>0</v>
      </c>
      <c r="L8" s="11">
        <v>16.725000000000001</v>
      </c>
      <c r="M8" s="11">
        <v>16.725000000000001</v>
      </c>
      <c r="N8" s="11"/>
      <c r="O8" s="11">
        <v>33483.449999999997</v>
      </c>
      <c r="P8" s="10">
        <v>33483.449999999997</v>
      </c>
    </row>
    <row r="9" spans="1:16" ht="15.6" x14ac:dyDescent="0.3">
      <c r="A9" s="23" t="s">
        <v>16</v>
      </c>
      <c r="B9" s="12" t="s">
        <v>17</v>
      </c>
      <c r="C9" s="12">
        <v>30</v>
      </c>
      <c r="D9" s="13">
        <v>43988</v>
      </c>
      <c r="E9" s="14">
        <v>0.03</v>
      </c>
      <c r="F9" s="12" t="s">
        <v>20</v>
      </c>
      <c r="G9" s="12">
        <v>12</v>
      </c>
      <c r="H9" s="14" t="s">
        <v>19</v>
      </c>
      <c r="I9" s="15">
        <v>1115</v>
      </c>
      <c r="J9" s="16">
        <v>13380</v>
      </c>
      <c r="K9" s="17">
        <v>0</v>
      </c>
      <c r="L9" s="17">
        <v>200.7</v>
      </c>
      <c r="M9" s="17">
        <v>200.7</v>
      </c>
      <c r="N9" s="17"/>
      <c r="O9" s="17">
        <v>13781.400000000001</v>
      </c>
      <c r="P9" s="16">
        <v>13781.400000000001</v>
      </c>
    </row>
    <row r="10" spans="1:16" ht="15.6" x14ac:dyDescent="0.3">
      <c r="A10" s="22" t="s">
        <v>22</v>
      </c>
      <c r="B10" s="6" t="s">
        <v>17</v>
      </c>
      <c r="C10" s="6">
        <v>31</v>
      </c>
      <c r="D10" s="7">
        <v>44018</v>
      </c>
      <c r="E10" s="8">
        <v>0.18</v>
      </c>
      <c r="F10" s="6" t="s">
        <v>18</v>
      </c>
      <c r="G10" s="6">
        <v>17</v>
      </c>
      <c r="H10" s="8" t="s">
        <v>19</v>
      </c>
      <c r="I10" s="9">
        <v>1115</v>
      </c>
      <c r="J10" s="10">
        <v>18955</v>
      </c>
      <c r="K10" s="11">
        <v>0</v>
      </c>
      <c r="L10" s="11">
        <v>1705.95</v>
      </c>
      <c r="M10" s="11">
        <v>1705.95</v>
      </c>
      <c r="N10" s="11"/>
      <c r="O10" s="11">
        <v>22366.9</v>
      </c>
      <c r="P10" s="10">
        <v>22366.9</v>
      </c>
    </row>
    <row r="11" spans="1:16" ht="15.6" x14ac:dyDescent="0.3">
      <c r="A11" s="23" t="s">
        <v>22</v>
      </c>
      <c r="B11" s="12" t="s">
        <v>17</v>
      </c>
      <c r="C11" s="12">
        <v>32</v>
      </c>
      <c r="D11" s="13">
        <v>43958</v>
      </c>
      <c r="E11" s="14">
        <v>1E-3</v>
      </c>
      <c r="F11" s="12" t="s">
        <v>20</v>
      </c>
      <c r="G11" s="12">
        <v>16</v>
      </c>
      <c r="H11" s="14" t="s">
        <v>19</v>
      </c>
      <c r="I11" s="15">
        <v>1115</v>
      </c>
      <c r="J11" s="16">
        <v>17840</v>
      </c>
      <c r="K11" s="17">
        <v>0</v>
      </c>
      <c r="L11" s="17">
        <v>8.92</v>
      </c>
      <c r="M11" s="17">
        <v>8.92</v>
      </c>
      <c r="N11" s="17"/>
      <c r="O11" s="17">
        <v>17857.839999999997</v>
      </c>
      <c r="P11" s="16">
        <v>17857.839999999997</v>
      </c>
    </row>
    <row r="12" spans="1:16" ht="15.6" x14ac:dyDescent="0.3">
      <c r="A12" s="22" t="s">
        <v>22</v>
      </c>
      <c r="B12" s="6" t="s">
        <v>17</v>
      </c>
      <c r="C12" s="6">
        <v>33</v>
      </c>
      <c r="D12" s="7">
        <v>43989</v>
      </c>
      <c r="E12" s="8">
        <v>0.28000000000000003</v>
      </c>
      <c r="F12" s="6" t="s">
        <v>18</v>
      </c>
      <c r="G12" s="6">
        <v>50</v>
      </c>
      <c r="H12" s="8" t="s">
        <v>19</v>
      </c>
      <c r="I12" s="9">
        <v>1115</v>
      </c>
      <c r="J12" s="10">
        <v>55750</v>
      </c>
      <c r="K12" s="11">
        <v>0</v>
      </c>
      <c r="L12" s="11">
        <v>7805.0000000000009</v>
      </c>
      <c r="M12" s="11">
        <v>7805.0000000000009</v>
      </c>
      <c r="N12" s="11"/>
      <c r="O12" s="11">
        <v>71360</v>
      </c>
      <c r="P12" s="10">
        <v>71360</v>
      </c>
    </row>
    <row r="13" spans="1:16" ht="15.6" x14ac:dyDescent="0.3">
      <c r="A13" s="23" t="s">
        <v>22</v>
      </c>
      <c r="B13" s="12" t="s">
        <v>17</v>
      </c>
      <c r="C13" s="12">
        <v>34</v>
      </c>
      <c r="D13" s="13">
        <v>44019</v>
      </c>
      <c r="E13" s="14">
        <v>0</v>
      </c>
      <c r="F13" s="12" t="s">
        <v>20</v>
      </c>
      <c r="G13" s="12">
        <v>21</v>
      </c>
      <c r="H13" s="14" t="s">
        <v>19</v>
      </c>
      <c r="I13" s="15">
        <v>1115</v>
      </c>
      <c r="J13" s="16">
        <v>23415</v>
      </c>
      <c r="K13" s="17">
        <v>0</v>
      </c>
      <c r="L13" s="17">
        <v>0</v>
      </c>
      <c r="M13" s="17">
        <v>0</v>
      </c>
      <c r="N13" s="17"/>
      <c r="O13" s="17">
        <v>23415</v>
      </c>
      <c r="P13" s="16">
        <v>23415</v>
      </c>
    </row>
    <row r="14" spans="1:16" ht="15.6" x14ac:dyDescent="0.3">
      <c r="A14" s="22" t="s">
        <v>16</v>
      </c>
      <c r="B14" s="6" t="s">
        <v>21</v>
      </c>
      <c r="C14" s="6">
        <v>35</v>
      </c>
      <c r="D14" s="7">
        <v>43959</v>
      </c>
      <c r="E14" s="18">
        <v>0.05</v>
      </c>
      <c r="F14" s="6" t="s">
        <v>18</v>
      </c>
      <c r="G14" s="19">
        <v>25</v>
      </c>
      <c r="H14" s="8" t="s">
        <v>19</v>
      </c>
      <c r="I14" s="9">
        <v>1115</v>
      </c>
      <c r="J14" s="10">
        <v>27875</v>
      </c>
      <c r="K14" s="11">
        <v>1393.75</v>
      </c>
      <c r="L14" s="11">
        <v>0</v>
      </c>
      <c r="M14" s="11">
        <v>0</v>
      </c>
      <c r="N14" s="11"/>
      <c r="O14" s="11">
        <v>29268.75</v>
      </c>
      <c r="P14" s="10">
        <v>29268.75</v>
      </c>
    </row>
    <row r="15" spans="1:16" ht="15.6" x14ac:dyDescent="0.3">
      <c r="A15" s="23" t="s">
        <v>16</v>
      </c>
      <c r="B15" s="12" t="s">
        <v>21</v>
      </c>
      <c r="C15" s="12">
        <v>36</v>
      </c>
      <c r="D15" s="13">
        <v>43990</v>
      </c>
      <c r="E15" s="20">
        <v>0.18</v>
      </c>
      <c r="F15" s="12" t="s">
        <v>20</v>
      </c>
      <c r="G15" s="21">
        <v>42</v>
      </c>
      <c r="H15" s="14" t="s">
        <v>19</v>
      </c>
      <c r="I15" s="15">
        <v>1115</v>
      </c>
      <c r="J15" s="16">
        <v>46830</v>
      </c>
      <c r="K15" s="17">
        <v>8429.4</v>
      </c>
      <c r="L15" s="17">
        <v>0</v>
      </c>
      <c r="M15" s="17">
        <v>0</v>
      </c>
      <c r="N15" s="17"/>
      <c r="O15" s="17">
        <v>55259.4</v>
      </c>
      <c r="P15" s="16">
        <v>55259.4</v>
      </c>
    </row>
    <row r="16" spans="1:16" ht="15.6" x14ac:dyDescent="0.3">
      <c r="A16" s="22" t="s">
        <v>16</v>
      </c>
      <c r="B16" s="6" t="s">
        <v>23</v>
      </c>
      <c r="C16" s="6">
        <v>37</v>
      </c>
      <c r="D16" s="7">
        <v>44020</v>
      </c>
      <c r="E16" s="18">
        <v>1E-3</v>
      </c>
      <c r="F16" s="6" t="s">
        <v>18</v>
      </c>
      <c r="G16" s="19">
        <v>32</v>
      </c>
      <c r="H16" s="8" t="s">
        <v>19</v>
      </c>
      <c r="I16" s="9">
        <v>1115</v>
      </c>
      <c r="J16" s="10">
        <v>35680</v>
      </c>
      <c r="K16" s="11">
        <v>0</v>
      </c>
      <c r="L16" s="11">
        <v>17.84</v>
      </c>
      <c r="M16" s="11">
        <v>17.84</v>
      </c>
      <c r="N16" s="11"/>
      <c r="O16" s="11">
        <v>35715.679999999993</v>
      </c>
      <c r="P16" s="10">
        <v>35715.679999999993</v>
      </c>
    </row>
    <row r="17" spans="1:16" ht="15.6" x14ac:dyDescent="0.3">
      <c r="A17" s="23" t="s">
        <v>16</v>
      </c>
      <c r="B17" s="12" t="s">
        <v>23</v>
      </c>
      <c r="C17" s="12">
        <v>38</v>
      </c>
      <c r="D17" s="13">
        <v>43960</v>
      </c>
      <c r="E17" s="20">
        <v>0</v>
      </c>
      <c r="F17" s="12" t="s">
        <v>20</v>
      </c>
      <c r="G17" s="21">
        <v>10</v>
      </c>
      <c r="H17" s="14" t="s">
        <v>19</v>
      </c>
      <c r="I17" s="15">
        <v>1115</v>
      </c>
      <c r="J17" s="16">
        <v>11150</v>
      </c>
      <c r="K17" s="17">
        <v>0</v>
      </c>
      <c r="L17" s="17">
        <v>0</v>
      </c>
      <c r="M17" s="17">
        <v>0</v>
      </c>
      <c r="N17" s="17"/>
      <c r="O17" s="17">
        <v>11150</v>
      </c>
      <c r="P17" s="16">
        <v>11150</v>
      </c>
    </row>
    <row r="18" spans="1:16" ht="15.6" x14ac:dyDescent="0.3">
      <c r="A18" s="22" t="s">
        <v>16</v>
      </c>
      <c r="B18" s="6" t="s">
        <v>23</v>
      </c>
      <c r="C18" s="6">
        <v>39</v>
      </c>
      <c r="D18" s="7">
        <v>43991</v>
      </c>
      <c r="E18" s="18">
        <v>0.28000000000000003</v>
      </c>
      <c r="F18" s="6" t="s">
        <v>18</v>
      </c>
      <c r="G18" s="19">
        <v>20</v>
      </c>
      <c r="H18" s="8" t="s">
        <v>19</v>
      </c>
      <c r="I18" s="9">
        <v>1115</v>
      </c>
      <c r="J18" s="10">
        <v>22300</v>
      </c>
      <c r="K18" s="11">
        <v>0</v>
      </c>
      <c r="L18" s="11">
        <v>3122.0000000000005</v>
      </c>
      <c r="M18" s="11">
        <v>3122.0000000000005</v>
      </c>
      <c r="N18" s="11"/>
      <c r="O18" s="11">
        <v>28544</v>
      </c>
      <c r="P18" s="10">
        <v>28544</v>
      </c>
    </row>
    <row r="19" spans="1:16" ht="15.6" x14ac:dyDescent="0.3">
      <c r="A19" s="23" t="s">
        <v>22</v>
      </c>
      <c r="B19" s="12" t="s">
        <v>23</v>
      </c>
      <c r="C19" s="12">
        <v>40</v>
      </c>
      <c r="D19" s="13">
        <v>44021</v>
      </c>
      <c r="E19" s="20">
        <v>0.12</v>
      </c>
      <c r="F19" s="12" t="s">
        <v>20</v>
      </c>
      <c r="G19" s="21">
        <v>30</v>
      </c>
      <c r="H19" s="14" t="s">
        <v>19</v>
      </c>
      <c r="I19" s="15">
        <v>1115</v>
      </c>
      <c r="J19" s="16">
        <v>33450</v>
      </c>
      <c r="K19" s="17">
        <v>0</v>
      </c>
      <c r="L19" s="17">
        <v>2007</v>
      </c>
      <c r="M19" s="17">
        <v>2007</v>
      </c>
      <c r="N19" s="17"/>
      <c r="O19" s="17">
        <v>37464</v>
      </c>
      <c r="P19" s="16">
        <v>37464</v>
      </c>
    </row>
    <row r="20" spans="1:16" ht="15.6" x14ac:dyDescent="0.3">
      <c r="A20" s="22" t="s">
        <v>22</v>
      </c>
      <c r="B20" s="6" t="s">
        <v>21</v>
      </c>
      <c r="C20" s="6">
        <v>41</v>
      </c>
      <c r="D20" s="7">
        <v>43961</v>
      </c>
      <c r="E20" s="18">
        <v>0.03</v>
      </c>
      <c r="F20" s="6" t="s">
        <v>18</v>
      </c>
      <c r="G20" s="19">
        <v>45</v>
      </c>
      <c r="H20" s="8" t="s">
        <v>19</v>
      </c>
      <c r="I20" s="9">
        <v>1115</v>
      </c>
      <c r="J20" s="10">
        <v>50175</v>
      </c>
      <c r="K20" s="11">
        <v>1505.25</v>
      </c>
      <c r="L20" s="11">
        <v>0</v>
      </c>
      <c r="M20" s="11">
        <v>0</v>
      </c>
      <c r="N20" s="11"/>
      <c r="O20" s="11">
        <v>51680.25</v>
      </c>
      <c r="P20" s="10">
        <v>51680.25</v>
      </c>
    </row>
    <row r="21" spans="1:16" ht="15.6" x14ac:dyDescent="0.3">
      <c r="A21" s="23" t="s">
        <v>22</v>
      </c>
      <c r="B21" s="12" t="s">
        <v>23</v>
      </c>
      <c r="C21" s="12">
        <v>42</v>
      </c>
      <c r="D21" s="13">
        <v>43992</v>
      </c>
      <c r="E21" s="20">
        <v>0.05</v>
      </c>
      <c r="F21" s="12" t="s">
        <v>20</v>
      </c>
      <c r="G21" s="21">
        <v>62</v>
      </c>
      <c r="H21" s="14" t="s">
        <v>19</v>
      </c>
      <c r="I21" s="15">
        <v>1115</v>
      </c>
      <c r="J21" s="16">
        <v>69130</v>
      </c>
      <c r="K21" s="17">
        <v>0</v>
      </c>
      <c r="L21" s="17">
        <v>1728.25</v>
      </c>
      <c r="M21" s="17">
        <v>1728.25</v>
      </c>
      <c r="N21" s="17"/>
      <c r="O21" s="17">
        <v>72586.5</v>
      </c>
      <c r="P21" s="16">
        <v>72586.5</v>
      </c>
    </row>
    <row r="22" spans="1:16" ht="15.6" x14ac:dyDescent="0.3">
      <c r="A22" s="22" t="s">
        <v>22</v>
      </c>
      <c r="B22" s="6" t="s">
        <v>23</v>
      </c>
      <c r="C22" s="6">
        <v>43</v>
      </c>
      <c r="D22" s="7">
        <v>44022</v>
      </c>
      <c r="E22" s="18">
        <v>0</v>
      </c>
      <c r="F22" s="6" t="s">
        <v>18</v>
      </c>
      <c r="G22" s="19">
        <v>12</v>
      </c>
      <c r="H22" s="8" t="s">
        <v>19</v>
      </c>
      <c r="I22" s="9">
        <v>1115</v>
      </c>
      <c r="J22" s="10">
        <v>13380</v>
      </c>
      <c r="K22" s="11">
        <v>0</v>
      </c>
      <c r="L22" s="11">
        <v>0</v>
      </c>
      <c r="M22" s="11">
        <v>0</v>
      </c>
      <c r="N22" s="11"/>
      <c r="O22" s="11">
        <v>13380</v>
      </c>
      <c r="P22" s="10">
        <v>13380</v>
      </c>
    </row>
    <row r="23" spans="1:16" ht="15.6" x14ac:dyDescent="0.3">
      <c r="A23" s="23" t="s">
        <v>22</v>
      </c>
      <c r="B23" s="12" t="s">
        <v>23</v>
      </c>
      <c r="C23" s="12">
        <v>44</v>
      </c>
      <c r="D23" s="13">
        <v>43962</v>
      </c>
      <c r="E23" s="20">
        <v>0</v>
      </c>
      <c r="F23" s="12" t="s">
        <v>20</v>
      </c>
      <c r="G23" s="21">
        <v>25</v>
      </c>
      <c r="H23" s="14" t="s">
        <v>19</v>
      </c>
      <c r="I23" s="15">
        <v>1115</v>
      </c>
      <c r="J23" s="16">
        <v>27875</v>
      </c>
      <c r="K23" s="17">
        <v>0</v>
      </c>
      <c r="L23" s="17">
        <v>0</v>
      </c>
      <c r="M23" s="17">
        <v>0</v>
      </c>
      <c r="N23" s="17"/>
      <c r="O23" s="17">
        <v>27875</v>
      </c>
      <c r="P23" s="16">
        <v>27875</v>
      </c>
    </row>
    <row r="24" spans="1:16" ht="15.6" x14ac:dyDescent="0.3">
      <c r="A24" s="22" t="s">
        <v>22</v>
      </c>
      <c r="B24" s="6" t="s">
        <v>23</v>
      </c>
      <c r="C24" s="6">
        <v>45</v>
      </c>
      <c r="D24" s="7">
        <v>43993</v>
      </c>
      <c r="E24" s="18">
        <v>0.12</v>
      </c>
      <c r="F24" s="6" t="s">
        <v>18</v>
      </c>
      <c r="G24" s="19">
        <v>45</v>
      </c>
      <c r="H24" s="8" t="s">
        <v>19</v>
      </c>
      <c r="I24" s="9">
        <v>1115</v>
      </c>
      <c r="J24" s="10">
        <v>50175</v>
      </c>
      <c r="K24" s="11">
        <v>0</v>
      </c>
      <c r="L24" s="11">
        <v>3010.5</v>
      </c>
      <c r="M24" s="11">
        <v>3010.5</v>
      </c>
      <c r="N24" s="11"/>
      <c r="O24" s="11">
        <v>56196</v>
      </c>
      <c r="P24" s="10">
        <v>56196</v>
      </c>
    </row>
    <row r="25" spans="1:16" ht="15.6" x14ac:dyDescent="0.3">
      <c r="A25" s="23" t="s">
        <v>22</v>
      </c>
      <c r="B25" s="12" t="s">
        <v>23</v>
      </c>
      <c r="C25" s="12">
        <v>46</v>
      </c>
      <c r="D25" s="13">
        <v>44023</v>
      </c>
      <c r="E25" s="20">
        <v>0.12</v>
      </c>
      <c r="F25" s="12" t="s">
        <v>20</v>
      </c>
      <c r="G25" s="21">
        <v>20</v>
      </c>
      <c r="H25" s="14" t="s">
        <v>19</v>
      </c>
      <c r="I25" s="15">
        <v>1115</v>
      </c>
      <c r="J25" s="16">
        <v>22300</v>
      </c>
      <c r="K25" s="17">
        <v>0</v>
      </c>
      <c r="L25" s="17">
        <v>1338</v>
      </c>
      <c r="M25" s="17">
        <v>1338</v>
      </c>
      <c r="N25" s="17"/>
      <c r="O25" s="17">
        <v>24976</v>
      </c>
      <c r="P25" s="16">
        <v>24976</v>
      </c>
    </row>
    <row r="26" spans="1:16" ht="15.6" x14ac:dyDescent="0.3">
      <c r="A26" s="22" t="s">
        <v>22</v>
      </c>
      <c r="B26" s="6" t="s">
        <v>23</v>
      </c>
      <c r="C26" s="6">
        <v>47</v>
      </c>
      <c r="D26" s="7">
        <v>43963</v>
      </c>
      <c r="E26" s="18">
        <v>0.03</v>
      </c>
      <c r="F26" s="6" t="s">
        <v>18</v>
      </c>
      <c r="G26" s="19">
        <v>10</v>
      </c>
      <c r="H26" s="8" t="s">
        <v>19</v>
      </c>
      <c r="I26" s="9">
        <v>1115</v>
      </c>
      <c r="J26" s="10">
        <v>11150</v>
      </c>
      <c r="K26" s="11">
        <v>0</v>
      </c>
      <c r="L26" s="11">
        <v>167.25</v>
      </c>
      <c r="M26" s="11">
        <v>167.25</v>
      </c>
      <c r="N26" s="11"/>
      <c r="O26" s="11">
        <v>11484.5</v>
      </c>
      <c r="P26" s="10">
        <v>11484.5</v>
      </c>
    </row>
    <row r="27" spans="1:16" ht="15.6" x14ac:dyDescent="0.3">
      <c r="A27" s="23" t="s">
        <v>16</v>
      </c>
      <c r="B27" s="12" t="s">
        <v>23</v>
      </c>
      <c r="C27" s="12">
        <v>48</v>
      </c>
      <c r="D27" s="13">
        <v>43994</v>
      </c>
      <c r="E27" s="20">
        <v>0.28000000000000003</v>
      </c>
      <c r="F27" s="12" t="s">
        <v>20</v>
      </c>
      <c r="G27" s="21">
        <v>35</v>
      </c>
      <c r="H27" s="14" t="s">
        <v>19</v>
      </c>
      <c r="I27" s="15">
        <v>1115</v>
      </c>
      <c r="J27" s="16">
        <v>39025</v>
      </c>
      <c r="K27" s="17">
        <v>0</v>
      </c>
      <c r="L27" s="17">
        <v>5463.5000000000009</v>
      </c>
      <c r="M27" s="17">
        <v>5463.5000000000009</v>
      </c>
      <c r="N27" s="17"/>
      <c r="O27" s="17">
        <v>49952</v>
      </c>
      <c r="P27" s="16">
        <v>49952</v>
      </c>
    </row>
    <row r="28" spans="1:16" ht="15.6" x14ac:dyDescent="0.3">
      <c r="A28" s="22" t="s">
        <v>16</v>
      </c>
      <c r="B28" s="6" t="s">
        <v>23</v>
      </c>
      <c r="C28" s="6">
        <v>49</v>
      </c>
      <c r="D28" s="7">
        <v>44024</v>
      </c>
      <c r="E28" s="18">
        <v>0.12</v>
      </c>
      <c r="F28" s="6" t="s">
        <v>18</v>
      </c>
      <c r="G28" s="19">
        <v>15</v>
      </c>
      <c r="H28" s="8" t="s">
        <v>19</v>
      </c>
      <c r="I28" s="9">
        <v>1115</v>
      </c>
      <c r="J28" s="10">
        <v>16725</v>
      </c>
      <c r="K28" s="11">
        <v>0</v>
      </c>
      <c r="L28" s="11">
        <v>1003.5</v>
      </c>
      <c r="M28" s="11">
        <v>1003.5</v>
      </c>
      <c r="N28" s="11"/>
      <c r="O28" s="11">
        <v>18732</v>
      </c>
      <c r="P28" s="10">
        <v>18732</v>
      </c>
    </row>
    <row r="29" spans="1:16" ht="15.6" x14ac:dyDescent="0.3">
      <c r="A29" s="23" t="s">
        <v>16</v>
      </c>
      <c r="B29" s="12" t="s">
        <v>23</v>
      </c>
      <c r="C29" s="12">
        <v>50</v>
      </c>
      <c r="D29" s="13">
        <v>44317</v>
      </c>
      <c r="E29" s="20">
        <v>0.03</v>
      </c>
      <c r="F29" s="12" t="s">
        <v>20</v>
      </c>
      <c r="G29" s="21">
        <v>25</v>
      </c>
      <c r="H29" s="14" t="s">
        <v>19</v>
      </c>
      <c r="I29" s="15">
        <v>1115</v>
      </c>
      <c r="J29" s="16">
        <v>27875</v>
      </c>
      <c r="K29" s="17">
        <v>0</v>
      </c>
      <c r="L29" s="17">
        <v>418.125</v>
      </c>
      <c r="M29" s="17">
        <v>418.125</v>
      </c>
      <c r="N29" s="17"/>
      <c r="O29" s="17">
        <v>28711.25</v>
      </c>
      <c r="P29" s="16">
        <v>28711.25</v>
      </c>
    </row>
    <row r="30" spans="1:16" ht="15.6" x14ac:dyDescent="0.3">
      <c r="A30" s="22" t="s">
        <v>16</v>
      </c>
      <c r="B30" s="6" t="s">
        <v>23</v>
      </c>
      <c r="C30" s="6">
        <v>51</v>
      </c>
      <c r="D30" s="7">
        <v>44348</v>
      </c>
      <c r="E30" s="18">
        <v>0.28000000000000003</v>
      </c>
      <c r="F30" s="6" t="s">
        <v>18</v>
      </c>
      <c r="G30" s="19">
        <v>10</v>
      </c>
      <c r="H30" s="8" t="s">
        <v>19</v>
      </c>
      <c r="I30" s="9">
        <v>1115</v>
      </c>
      <c r="J30" s="10">
        <v>11150</v>
      </c>
      <c r="K30" s="11">
        <v>0</v>
      </c>
      <c r="L30" s="11">
        <v>1561.0000000000002</v>
      </c>
      <c r="M30" s="11">
        <v>1561.0000000000002</v>
      </c>
      <c r="N30" s="11"/>
      <c r="O30" s="11">
        <v>14272</v>
      </c>
      <c r="P30" s="10">
        <v>14272</v>
      </c>
    </row>
    <row r="31" spans="1:16" ht="15.6" x14ac:dyDescent="0.3">
      <c r="A31" s="23" t="s">
        <v>16</v>
      </c>
      <c r="B31" s="12" t="s">
        <v>23</v>
      </c>
      <c r="C31" s="12">
        <v>52</v>
      </c>
      <c r="D31" s="13">
        <v>44378</v>
      </c>
      <c r="E31" s="20">
        <v>0.05</v>
      </c>
      <c r="F31" s="12" t="s">
        <v>20</v>
      </c>
      <c r="G31" s="21">
        <v>5</v>
      </c>
      <c r="H31" s="14" t="s">
        <v>19</v>
      </c>
      <c r="I31" s="15">
        <v>1115</v>
      </c>
      <c r="J31" s="16">
        <v>5575</v>
      </c>
      <c r="K31" s="17">
        <v>0</v>
      </c>
      <c r="L31" s="17">
        <v>139.375</v>
      </c>
      <c r="M31" s="17">
        <v>139.375</v>
      </c>
      <c r="N31" s="17"/>
      <c r="O31" s="17">
        <v>5853.75</v>
      </c>
      <c r="P31" s="16">
        <v>5853.75</v>
      </c>
    </row>
    <row r="32" spans="1:16" ht="15.6" x14ac:dyDescent="0.3">
      <c r="A32" s="22" t="s">
        <v>22</v>
      </c>
      <c r="B32" s="6" t="s">
        <v>23</v>
      </c>
      <c r="C32" s="6">
        <v>53</v>
      </c>
      <c r="D32" s="7">
        <v>44318</v>
      </c>
      <c r="E32" s="18">
        <v>0.03</v>
      </c>
      <c r="F32" s="6" t="s">
        <v>18</v>
      </c>
      <c r="G32" s="19">
        <v>8</v>
      </c>
      <c r="H32" s="8" t="s">
        <v>19</v>
      </c>
      <c r="I32" s="9">
        <v>1115</v>
      </c>
      <c r="J32" s="10">
        <v>8920</v>
      </c>
      <c r="K32" s="11">
        <v>0</v>
      </c>
      <c r="L32" s="11">
        <v>133.79999999999998</v>
      </c>
      <c r="M32" s="11">
        <v>133.79999999999998</v>
      </c>
      <c r="N32" s="11"/>
      <c r="O32" s="11">
        <v>9187.5999999999985</v>
      </c>
      <c r="P32" s="10">
        <v>9187.5999999999985</v>
      </c>
    </row>
    <row r="33" spans="1:16" ht="15.6" x14ac:dyDescent="0.3">
      <c r="A33" s="23" t="s">
        <v>22</v>
      </c>
      <c r="B33" s="12" t="s">
        <v>23</v>
      </c>
      <c r="C33" s="12">
        <v>54</v>
      </c>
      <c r="D33" s="13">
        <v>44349</v>
      </c>
      <c r="E33" s="20">
        <v>0.05</v>
      </c>
      <c r="F33" s="12" t="s">
        <v>20</v>
      </c>
      <c r="G33" s="21">
        <v>10</v>
      </c>
      <c r="H33" s="14" t="s">
        <v>19</v>
      </c>
      <c r="I33" s="15">
        <v>1115</v>
      </c>
      <c r="J33" s="16">
        <v>11150</v>
      </c>
      <c r="K33" s="17">
        <v>0</v>
      </c>
      <c r="L33" s="17">
        <v>278.75</v>
      </c>
      <c r="M33" s="17">
        <v>278.75</v>
      </c>
      <c r="N33" s="17"/>
      <c r="O33" s="17">
        <v>11707.5</v>
      </c>
      <c r="P33" s="16">
        <v>11707.5</v>
      </c>
    </row>
    <row r="34" spans="1:16" ht="15.6" x14ac:dyDescent="0.3">
      <c r="A34" s="22" t="s">
        <v>22</v>
      </c>
      <c r="B34" s="6" t="s">
        <v>23</v>
      </c>
      <c r="C34" s="6">
        <v>55</v>
      </c>
      <c r="D34" s="7">
        <v>44379</v>
      </c>
      <c r="E34" s="18">
        <v>0.05</v>
      </c>
      <c r="F34" s="6" t="s">
        <v>18</v>
      </c>
      <c r="G34" s="19">
        <v>2</v>
      </c>
      <c r="H34" s="8" t="s">
        <v>19</v>
      </c>
      <c r="I34" s="9">
        <v>1115</v>
      </c>
      <c r="J34" s="10">
        <v>2230</v>
      </c>
      <c r="K34" s="11">
        <v>0</v>
      </c>
      <c r="L34" s="11">
        <v>55.75</v>
      </c>
      <c r="M34" s="11">
        <v>55.75</v>
      </c>
      <c r="N34" s="11"/>
      <c r="O34" s="11">
        <v>2341.5</v>
      </c>
      <c r="P34" s="10">
        <v>2341.5</v>
      </c>
    </row>
    <row r="35" spans="1:16" ht="15.6" x14ac:dyDescent="0.3">
      <c r="A35" s="23" t="s">
        <v>22</v>
      </c>
      <c r="B35" s="12" t="s">
        <v>23</v>
      </c>
      <c r="C35" s="12">
        <v>56</v>
      </c>
      <c r="D35" s="13">
        <v>44319</v>
      </c>
      <c r="E35" s="20">
        <v>0.28000000000000003</v>
      </c>
      <c r="F35" s="12" t="s">
        <v>20</v>
      </c>
      <c r="G35" s="21">
        <v>4</v>
      </c>
      <c r="H35" s="14" t="s">
        <v>19</v>
      </c>
      <c r="I35" s="15">
        <v>1115</v>
      </c>
      <c r="J35" s="16">
        <v>4460</v>
      </c>
      <c r="K35" s="17">
        <v>0</v>
      </c>
      <c r="L35" s="17">
        <v>624.40000000000009</v>
      </c>
      <c r="M35" s="17">
        <v>624.40000000000009</v>
      </c>
      <c r="N35" s="17"/>
      <c r="O35" s="17">
        <v>5708.7999999999993</v>
      </c>
      <c r="P35" s="16">
        <v>5708.7999999999993</v>
      </c>
    </row>
    <row r="36" spans="1:16" ht="15.6" x14ac:dyDescent="0.3">
      <c r="A36" s="22" t="s">
        <v>16</v>
      </c>
      <c r="B36" s="6" t="s">
        <v>23</v>
      </c>
      <c r="C36" s="6">
        <v>57</v>
      </c>
      <c r="D36" s="7">
        <v>44350</v>
      </c>
      <c r="E36" s="18">
        <v>1E-3</v>
      </c>
      <c r="F36" s="6" t="s">
        <v>18</v>
      </c>
      <c r="G36" s="19">
        <v>6</v>
      </c>
      <c r="H36" s="8" t="s">
        <v>19</v>
      </c>
      <c r="I36" s="9">
        <v>1115</v>
      </c>
      <c r="J36" s="10">
        <v>6690</v>
      </c>
      <c r="K36" s="11">
        <v>0</v>
      </c>
      <c r="L36" s="11">
        <v>3.3450000000000002</v>
      </c>
      <c r="M36" s="11">
        <v>3.3450000000000002</v>
      </c>
      <c r="N36" s="11"/>
      <c r="O36" s="11">
        <v>6696.6900000000005</v>
      </c>
      <c r="P36" s="10">
        <v>6696.6900000000005</v>
      </c>
    </row>
    <row r="37" spans="1:16" ht="15.6" x14ac:dyDescent="0.3">
      <c r="A37" s="23" t="s">
        <v>16</v>
      </c>
      <c r="B37" s="12" t="s">
        <v>23</v>
      </c>
      <c r="C37" s="12">
        <v>58</v>
      </c>
      <c r="D37" s="13">
        <v>44380</v>
      </c>
      <c r="E37" s="20">
        <v>0</v>
      </c>
      <c r="F37" s="12" t="s">
        <v>20</v>
      </c>
      <c r="G37" s="21">
        <v>5</v>
      </c>
      <c r="H37" s="14" t="s">
        <v>19</v>
      </c>
      <c r="I37" s="15">
        <v>1115</v>
      </c>
      <c r="J37" s="16">
        <v>5575</v>
      </c>
      <c r="K37" s="17">
        <v>0</v>
      </c>
      <c r="L37" s="17">
        <v>0</v>
      </c>
      <c r="M37" s="17">
        <v>0</v>
      </c>
      <c r="N37" s="17"/>
      <c r="O37" s="17">
        <v>5575</v>
      </c>
      <c r="P37" s="16">
        <v>5575</v>
      </c>
    </row>
  </sheetData>
  <conditionalFormatting sqref="A10:A13 A19:A26 A32:A35">
    <cfRule type="expression" dxfId="12" priority="9">
      <formula>IF(ISBLANK(#REF!), 0, SEARCH(#REF!,$A10&amp;#REF!&amp;$B4&amp;$C4&amp;#REF!&amp;$J4))</formula>
    </cfRule>
  </conditionalFormatting>
  <conditionalFormatting sqref="A12:A13">
    <cfRule type="expression" dxfId="11" priority="6">
      <formula>IF(ISBLANK(#REF!), 0, SEARCH(#REF!,$A12&amp;#REF!&amp;$B6&amp;$C6&amp;#REF!&amp;$E6))</formula>
    </cfRule>
  </conditionalFormatting>
  <conditionalFormatting sqref="A21:A22 A25:A26 A34:A35">
    <cfRule type="expression" dxfId="10" priority="13">
      <formula>IF(ISBLANK(#REF!), 0, SEARCH(#REF!,$A21&amp;#REF!&amp;$B15&amp;$C15&amp;#REF!&amp;$E15))</formula>
    </cfRule>
  </conditionalFormatting>
  <conditionalFormatting sqref="B14:B37 E16:E37 G16:G37 J16:J37">
    <cfRule type="expression" dxfId="9" priority="2">
      <formula>IF(ISBLANK(#REF!), 0, SEARCH(#REF!,$A14&amp;#REF!&amp;$B14&amp;$D14&amp;#REF!&amp;$J14))</formula>
    </cfRule>
  </conditionalFormatting>
  <conditionalFormatting sqref="B16:B37 E16:E37 G16:G37 J16:J37">
    <cfRule type="expression" dxfId="8" priority="1">
      <formula>IF(ISBLANK(#REF!), 0, SEARCH(#REF!,$A16&amp;#REF!&amp;$B16&amp;$D16&amp;#REF!&amp;$E16))</formula>
    </cfRule>
  </conditionalFormatting>
  <conditionalFormatting sqref="C2:C3 E2:J3 A4:A9 B4:C13 F4:F37 H4:I37 C14:C37">
    <cfRule type="expression" dxfId="7" priority="5">
      <formula>IF(ISBLANK(#REF!), 0, SEARCH(#REF!,$A2&amp;#REF!&amp;$B2&amp;$C2&amp;#REF!&amp;$J2))</formula>
    </cfRule>
  </conditionalFormatting>
  <conditionalFormatting sqref="D2:D37 A16:A18 A29:A31 A37">
    <cfRule type="expression" dxfId="6" priority="12">
      <formula>IF(ISBLANK(#REF!), 0, SEARCH(#REF!,$A2&amp;#REF!&amp;$B2&amp;$C2&amp;#REF!&amp;$J2))</formula>
    </cfRule>
  </conditionalFormatting>
  <conditionalFormatting sqref="E4:E9 G4:G9 J4:J9">
    <cfRule type="expression" dxfId="5" priority="10">
      <formula>IF(ISBLANK(#REF!), 0, SEARCH(#REF!,$A10&amp;#REF!&amp;$B4&amp;$C4&amp;#REF!&amp;$J4))</formula>
    </cfRule>
  </conditionalFormatting>
  <conditionalFormatting sqref="E6:E9 G6:G9 J6:J9">
    <cfRule type="expression" dxfId="4" priority="7">
      <formula>IF(ISBLANK(#REF!), 0, SEARCH(#REF!,$A12&amp;#REF!&amp;$B6&amp;$C6&amp;#REF!&amp;$E6))</formula>
    </cfRule>
  </conditionalFormatting>
  <conditionalFormatting sqref="E10:E13 G10:G13 J10:J13">
    <cfRule type="expression" dxfId="3" priority="8">
      <formula>IF(ISBLANK(#REF!), 0, SEARCH(#REF!,#REF!&amp;#REF!&amp;$B10&amp;$C10&amp;#REF!&amp;$E10))</formula>
    </cfRule>
    <cfRule type="expression" dxfId="2" priority="11">
      <formula>IF(ISBLANK(#REF!), 0, SEARCH(#REF!,#REF!&amp;#REF!&amp;$B10&amp;$C10&amp;#REF!&amp;$J10))</formula>
    </cfRule>
  </conditionalFormatting>
  <conditionalFormatting sqref="E14:E15 G14:G15 J14:J15">
    <cfRule type="expression" dxfId="1" priority="3">
      <formula>IF(ISBLANK(#REF!), 0, SEARCH(#REF!,#REF!&amp;#REF!&amp;$B14&amp;$D14&amp;#REF!&amp;$E14))</formula>
    </cfRule>
    <cfRule type="expression" dxfId="0" priority="4">
      <formula>IF(ISBLANK(#REF!), 0, SEARCH(#REF!,#REF!&amp;#REF!&amp;$B14&amp;$D14&amp;#REF!&amp;$J14))</formula>
    </cfRule>
  </conditionalFormatting>
  <dataValidations count="4">
    <dataValidation operator="equal" allowBlank="1" showInputMessage="1" showErrorMessage="1" sqref="A2:A37" xr:uid="{00000000-0002-0000-0600-000000000000}"/>
    <dataValidation type="list" allowBlank="1" showInputMessage="1" showErrorMessage="1" sqref="B2:B37" xr:uid="{00000000-0002-0000-0600-000001000000}">
      <formula1>"LOCAL,INTERSTATE"</formula1>
    </dataValidation>
    <dataValidation type="list" allowBlank="1" showInputMessage="1" showErrorMessage="1" sqref="E2:E37" xr:uid="{00000000-0002-0000-0600-000002000000}">
      <formula1>$S$2:$S$8</formula1>
    </dataValidation>
    <dataValidation type="list" allowBlank="1" showInputMessage="1" showErrorMessage="1" sqref="H2:H37" xr:uid="{00000000-0002-0000-0600-000003000000}">
      <formula1>"PCS,NOS,KG,DOZ"</formula1>
    </dataValidation>
  </dataValidation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380E6-F786-47C1-9DF8-001E11E9E4DD}">
  <dimension ref="B2:C6"/>
  <sheetViews>
    <sheetView workbookViewId="0">
      <selection activeCell="G11" sqref="G11"/>
    </sheetView>
  </sheetViews>
  <sheetFormatPr defaultRowHeight="14.4" x14ac:dyDescent="0.3"/>
  <cols>
    <col min="2" max="2" width="20.33203125" bestFit="1" customWidth="1"/>
    <col min="3" max="3" width="17.88671875" bestFit="1" customWidth="1"/>
  </cols>
  <sheetData>
    <row r="2" spans="2:3" ht="21" x14ac:dyDescent="0.4">
      <c r="B2" s="5" t="s">
        <v>35</v>
      </c>
      <c r="C2" s="5" t="s">
        <v>40</v>
      </c>
    </row>
    <row r="3" spans="2:3" ht="21" x14ac:dyDescent="0.4">
      <c r="B3" s="5" t="s">
        <v>36</v>
      </c>
      <c r="C3" s="5" t="s">
        <v>41</v>
      </c>
    </row>
    <row r="4" spans="2:3" ht="21" x14ac:dyDescent="0.4">
      <c r="B4" s="5" t="s">
        <v>37</v>
      </c>
      <c r="C4" s="5" t="s">
        <v>42</v>
      </c>
    </row>
    <row r="5" spans="2:3" ht="21" x14ac:dyDescent="0.4">
      <c r="B5" s="5" t="s">
        <v>38</v>
      </c>
      <c r="C5" s="5" t="s">
        <v>43</v>
      </c>
    </row>
    <row r="6" spans="2:3" ht="21" x14ac:dyDescent="0.4">
      <c r="B6" s="5" t="s">
        <v>39</v>
      </c>
      <c r="C6" s="5" t="s">
        <v>44</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2F84B-8B6F-48C4-B711-0B7210BACBFE}">
  <dimension ref="A1:Q26"/>
  <sheetViews>
    <sheetView tabSelected="1" zoomScale="61" workbookViewId="0">
      <selection activeCell="R22" sqref="R22"/>
    </sheetView>
  </sheetViews>
  <sheetFormatPr defaultRowHeight="14.4" x14ac:dyDescent="0.3"/>
  <cols>
    <col min="1" max="1" width="9.88671875" customWidth="1"/>
    <col min="2" max="2" width="9.33203125" customWidth="1"/>
  </cols>
  <sheetData>
    <row r="1" spans="1:17" x14ac:dyDescent="0.3">
      <c r="A1" s="33"/>
      <c r="B1" s="33"/>
      <c r="C1" s="33"/>
      <c r="D1" s="33"/>
      <c r="E1" s="33"/>
      <c r="F1" s="33"/>
      <c r="G1" s="33"/>
      <c r="H1" s="33"/>
      <c r="I1" s="33"/>
      <c r="J1" s="33"/>
      <c r="K1" s="33"/>
      <c r="L1" s="33"/>
      <c r="M1" s="33"/>
      <c r="N1" s="33"/>
      <c r="O1" s="33"/>
      <c r="P1" s="33"/>
      <c r="Q1" s="33"/>
    </row>
    <row r="2" spans="1:17" x14ac:dyDescent="0.3">
      <c r="A2" s="33"/>
      <c r="B2" s="33"/>
      <c r="C2" s="33"/>
      <c r="D2" s="33"/>
      <c r="E2" s="33"/>
      <c r="F2" s="33"/>
      <c r="G2" s="33"/>
      <c r="H2" s="33"/>
      <c r="I2" s="33"/>
      <c r="J2" s="33"/>
      <c r="K2" s="33"/>
      <c r="L2" s="33"/>
      <c r="M2" s="33"/>
      <c r="N2" s="33"/>
      <c r="O2" s="33"/>
      <c r="P2" s="33"/>
      <c r="Q2" s="33"/>
    </row>
    <row r="3" spans="1:17" x14ac:dyDescent="0.3">
      <c r="A3" s="33"/>
      <c r="B3" s="33"/>
      <c r="C3" s="33"/>
      <c r="D3" s="33"/>
      <c r="E3" s="33"/>
      <c r="F3" s="33"/>
      <c r="G3" s="33"/>
      <c r="H3" s="33"/>
      <c r="I3" s="33"/>
      <c r="J3" s="33"/>
      <c r="K3" s="33"/>
      <c r="L3" s="33"/>
      <c r="M3" s="33"/>
      <c r="N3" s="33"/>
      <c r="O3" s="33"/>
      <c r="P3" s="33"/>
      <c r="Q3" s="33"/>
    </row>
    <row r="4" spans="1:17" x14ac:dyDescent="0.3">
      <c r="A4" s="33"/>
      <c r="B4" s="33"/>
      <c r="C4" s="33"/>
      <c r="D4" s="33"/>
      <c r="E4" s="33"/>
      <c r="F4" s="33"/>
      <c r="G4" s="33"/>
      <c r="H4" s="33"/>
      <c r="I4" s="33"/>
      <c r="J4" s="33"/>
      <c r="K4" s="33"/>
      <c r="L4" s="33"/>
      <c r="M4" s="33"/>
      <c r="N4" s="33"/>
      <c r="O4" s="33"/>
      <c r="P4" s="33"/>
      <c r="Q4" s="33"/>
    </row>
    <row r="5" spans="1:17" x14ac:dyDescent="0.3">
      <c r="A5" s="33"/>
      <c r="B5" s="33"/>
      <c r="C5" s="33"/>
      <c r="D5" s="33"/>
      <c r="E5" s="33"/>
      <c r="F5" s="33"/>
      <c r="G5" s="33"/>
      <c r="H5" s="33"/>
      <c r="I5" s="33"/>
      <c r="J5" s="33"/>
      <c r="K5" s="33"/>
      <c r="L5" s="33"/>
      <c r="M5" s="33"/>
      <c r="N5" s="33"/>
      <c r="O5" s="33"/>
      <c r="P5" s="33"/>
      <c r="Q5" s="33"/>
    </row>
    <row r="6" spans="1:17" x14ac:dyDescent="0.3">
      <c r="A6" s="33"/>
      <c r="B6" s="33"/>
      <c r="C6" s="33"/>
      <c r="D6" s="33"/>
      <c r="E6" s="33"/>
      <c r="F6" s="33"/>
      <c r="G6" s="33"/>
      <c r="H6" s="33"/>
      <c r="I6" s="33"/>
      <c r="J6" s="33"/>
      <c r="K6" s="33"/>
      <c r="L6" s="33"/>
      <c r="M6" s="33"/>
      <c r="N6" s="33"/>
      <c r="O6" s="33"/>
      <c r="P6" s="33"/>
      <c r="Q6" s="33"/>
    </row>
    <row r="7" spans="1:17" x14ac:dyDescent="0.3">
      <c r="A7" s="33"/>
      <c r="B7" s="33"/>
      <c r="C7" s="33"/>
      <c r="D7" s="33"/>
      <c r="E7" s="33"/>
      <c r="F7" s="33"/>
      <c r="G7" s="33"/>
      <c r="H7" s="33"/>
      <c r="I7" s="33"/>
      <c r="J7" s="33"/>
      <c r="K7" s="33"/>
      <c r="L7" s="33"/>
      <c r="M7" s="33"/>
      <c r="N7" s="33"/>
      <c r="O7" s="33"/>
      <c r="P7" s="33"/>
      <c r="Q7" s="33"/>
    </row>
    <row r="8" spans="1:17" x14ac:dyDescent="0.3">
      <c r="A8" s="33"/>
      <c r="B8" s="33"/>
      <c r="C8" s="33"/>
      <c r="D8" s="33"/>
      <c r="E8" s="33"/>
      <c r="F8" s="33"/>
      <c r="G8" s="33"/>
      <c r="H8" s="33"/>
      <c r="I8" s="33"/>
      <c r="J8" s="33"/>
      <c r="K8" s="33"/>
      <c r="L8" s="33"/>
      <c r="M8" s="33"/>
      <c r="N8" s="33"/>
      <c r="O8" s="33"/>
      <c r="P8" s="33"/>
      <c r="Q8" s="33"/>
    </row>
    <row r="9" spans="1:17" x14ac:dyDescent="0.3">
      <c r="A9" s="33"/>
      <c r="B9" s="33"/>
      <c r="C9" s="33"/>
      <c r="D9" s="33"/>
      <c r="E9" s="33"/>
      <c r="F9" s="33"/>
      <c r="G9" s="33"/>
      <c r="H9" s="33"/>
      <c r="I9" s="33"/>
      <c r="J9" s="33"/>
      <c r="K9" s="33"/>
      <c r="L9" s="33"/>
      <c r="M9" s="33"/>
      <c r="N9" s="33"/>
      <c r="O9" s="33"/>
      <c r="P9" s="33"/>
      <c r="Q9" s="33"/>
    </row>
    <row r="10" spans="1:17" x14ac:dyDescent="0.3">
      <c r="A10" s="33"/>
      <c r="B10" s="33"/>
      <c r="C10" s="33"/>
      <c r="D10" s="33"/>
      <c r="E10" s="33"/>
      <c r="F10" s="33"/>
      <c r="G10" s="33"/>
      <c r="H10" s="33"/>
      <c r="I10" s="33"/>
      <c r="J10" s="33"/>
      <c r="K10" s="33"/>
      <c r="L10" s="33"/>
      <c r="M10" s="33"/>
      <c r="N10" s="33"/>
      <c r="O10" s="33"/>
      <c r="P10" s="33"/>
      <c r="Q10" s="33"/>
    </row>
    <row r="11" spans="1:17" x14ac:dyDescent="0.3">
      <c r="A11" s="33"/>
      <c r="B11" s="33"/>
      <c r="C11" s="33"/>
      <c r="D11" s="33"/>
      <c r="E11" s="33"/>
      <c r="F11" s="33"/>
      <c r="G11" s="33"/>
      <c r="H11" s="33"/>
      <c r="I11" s="33"/>
      <c r="J11" s="33"/>
      <c r="K11" s="33"/>
      <c r="L11" s="33"/>
      <c r="M11" s="33"/>
      <c r="N11" s="33"/>
      <c r="O11" s="33"/>
      <c r="P11" s="33"/>
      <c r="Q11" s="33"/>
    </row>
    <row r="12" spans="1:17" x14ac:dyDescent="0.3">
      <c r="A12" s="33"/>
      <c r="B12" s="33"/>
      <c r="C12" s="33"/>
      <c r="D12" s="33"/>
      <c r="E12" s="33"/>
      <c r="F12" s="33"/>
      <c r="G12" s="33"/>
      <c r="H12" s="33"/>
      <c r="I12" s="33"/>
      <c r="J12" s="33"/>
      <c r="K12" s="33"/>
      <c r="L12" s="33"/>
      <c r="M12" s="33"/>
      <c r="N12" s="33"/>
      <c r="O12" s="33"/>
      <c r="P12" s="33"/>
      <c r="Q12" s="33"/>
    </row>
    <row r="13" spans="1:17" x14ac:dyDescent="0.3">
      <c r="A13" s="33"/>
      <c r="B13" s="33"/>
      <c r="C13" s="33"/>
      <c r="D13" s="33"/>
      <c r="E13" s="33"/>
      <c r="F13" s="33"/>
      <c r="G13" s="33"/>
      <c r="H13" s="33"/>
      <c r="I13" s="33"/>
      <c r="J13" s="33"/>
      <c r="K13" s="33"/>
      <c r="L13" s="33"/>
      <c r="M13" s="33"/>
      <c r="N13" s="33"/>
      <c r="O13" s="33"/>
      <c r="P13" s="33"/>
      <c r="Q13" s="33"/>
    </row>
    <row r="14" spans="1:17" x14ac:dyDescent="0.3">
      <c r="A14" s="33"/>
      <c r="B14" s="33"/>
      <c r="C14" s="33"/>
      <c r="D14" s="33"/>
      <c r="E14" s="33"/>
      <c r="F14" s="33"/>
      <c r="G14" s="33"/>
      <c r="H14" s="33"/>
      <c r="I14" s="33"/>
      <c r="J14" s="33"/>
      <c r="K14" s="33"/>
      <c r="L14" s="33"/>
      <c r="M14" s="33"/>
      <c r="N14" s="33"/>
      <c r="O14" s="33"/>
      <c r="P14" s="33"/>
      <c r="Q14" s="33"/>
    </row>
    <row r="15" spans="1:17" x14ac:dyDescent="0.3">
      <c r="A15" s="33"/>
      <c r="B15" s="33"/>
      <c r="C15" s="33"/>
      <c r="D15" s="33"/>
      <c r="E15" s="33"/>
      <c r="F15" s="33"/>
      <c r="G15" s="33"/>
      <c r="H15" s="33"/>
      <c r="I15" s="33"/>
      <c r="J15" s="33"/>
      <c r="K15" s="33"/>
      <c r="L15" s="33"/>
      <c r="M15" s="33"/>
      <c r="N15" s="33"/>
      <c r="O15" s="33"/>
      <c r="P15" s="33"/>
      <c r="Q15" s="33"/>
    </row>
    <row r="16" spans="1:17" x14ac:dyDescent="0.3">
      <c r="A16" s="33"/>
      <c r="B16" s="33"/>
      <c r="C16" s="33"/>
      <c r="D16" s="33"/>
      <c r="E16" s="33"/>
      <c r="F16" s="33"/>
      <c r="G16" s="33"/>
      <c r="H16" s="33"/>
      <c r="I16" s="33"/>
      <c r="J16" s="33"/>
      <c r="K16" s="33"/>
      <c r="L16" s="33"/>
      <c r="M16" s="33"/>
      <c r="N16" s="33"/>
      <c r="O16" s="33"/>
      <c r="P16" s="33"/>
      <c r="Q16" s="33"/>
    </row>
    <row r="17" spans="1:17" x14ac:dyDescent="0.3">
      <c r="A17" s="33"/>
      <c r="B17" s="33"/>
      <c r="C17" s="33"/>
      <c r="D17" s="33"/>
      <c r="E17" s="33"/>
      <c r="F17" s="33"/>
      <c r="G17" s="33"/>
      <c r="H17" s="33"/>
      <c r="I17" s="33"/>
      <c r="J17" s="33"/>
      <c r="K17" s="33"/>
      <c r="L17" s="33"/>
      <c r="M17" s="33"/>
      <c r="N17" s="33"/>
      <c r="O17" s="33"/>
      <c r="P17" s="33"/>
      <c r="Q17" s="33"/>
    </row>
    <row r="18" spans="1:17" x14ac:dyDescent="0.3">
      <c r="A18" s="33"/>
      <c r="B18" s="33"/>
      <c r="C18" s="33"/>
      <c r="D18" s="33"/>
      <c r="E18" s="33"/>
      <c r="F18" s="33"/>
      <c r="G18" s="33"/>
      <c r="H18" s="33"/>
      <c r="I18" s="33"/>
      <c r="J18" s="33"/>
      <c r="K18" s="33"/>
      <c r="L18" s="33"/>
      <c r="M18" s="33"/>
      <c r="N18" s="33"/>
      <c r="O18" s="33"/>
      <c r="P18" s="33"/>
      <c r="Q18" s="33"/>
    </row>
    <row r="19" spans="1:17" x14ac:dyDescent="0.3">
      <c r="A19" s="33"/>
      <c r="B19" s="33"/>
      <c r="C19" s="33"/>
      <c r="D19" s="33"/>
      <c r="E19" s="33"/>
      <c r="F19" s="33"/>
      <c r="G19" s="33"/>
      <c r="H19" s="33"/>
      <c r="I19" s="33"/>
      <c r="J19" s="33"/>
      <c r="K19" s="33"/>
      <c r="L19" s="33"/>
      <c r="M19" s="33"/>
      <c r="N19" s="33"/>
      <c r="O19" s="33"/>
      <c r="P19" s="33"/>
      <c r="Q19" s="33"/>
    </row>
    <row r="20" spans="1:17" x14ac:dyDescent="0.3">
      <c r="A20" s="33"/>
      <c r="B20" s="33"/>
      <c r="C20" s="33"/>
      <c r="D20" s="33"/>
      <c r="E20" s="33"/>
      <c r="F20" s="33"/>
      <c r="G20" s="33"/>
      <c r="H20" s="33"/>
      <c r="I20" s="33"/>
      <c r="J20" s="33"/>
      <c r="K20" s="33"/>
      <c r="L20" s="33"/>
      <c r="M20" s="33"/>
      <c r="N20" s="33"/>
      <c r="O20" s="33"/>
      <c r="P20" s="33"/>
      <c r="Q20" s="33"/>
    </row>
    <row r="21" spans="1:17" x14ac:dyDescent="0.3">
      <c r="A21" s="33"/>
      <c r="B21" s="33"/>
      <c r="C21" s="33"/>
      <c r="D21" s="33"/>
      <c r="E21" s="33"/>
      <c r="F21" s="33"/>
      <c r="G21" s="33"/>
      <c r="H21" s="33"/>
      <c r="I21" s="33"/>
      <c r="J21" s="33"/>
      <c r="K21" s="33"/>
      <c r="L21" s="33"/>
      <c r="M21" s="33"/>
      <c r="N21" s="33"/>
      <c r="O21" s="33"/>
      <c r="P21" s="33"/>
      <c r="Q21" s="33"/>
    </row>
    <row r="22" spans="1:17" x14ac:dyDescent="0.3">
      <c r="A22" s="33"/>
      <c r="B22" s="33"/>
      <c r="C22" s="33"/>
      <c r="D22" s="33"/>
      <c r="E22" s="33"/>
      <c r="F22" s="33"/>
      <c r="G22" s="33"/>
      <c r="H22" s="33"/>
      <c r="I22" s="33"/>
      <c r="J22" s="33"/>
      <c r="K22" s="33"/>
      <c r="L22" s="33"/>
      <c r="M22" s="33"/>
      <c r="N22" s="33"/>
      <c r="O22" s="33"/>
      <c r="P22" s="33"/>
      <c r="Q22" s="33"/>
    </row>
    <row r="23" spans="1:17" x14ac:dyDescent="0.3">
      <c r="A23" s="33"/>
      <c r="B23" s="33"/>
      <c r="C23" s="33"/>
      <c r="D23" s="33"/>
      <c r="E23" s="33"/>
      <c r="F23" s="33"/>
      <c r="G23" s="33"/>
      <c r="H23" s="33"/>
      <c r="I23" s="33"/>
      <c r="J23" s="33"/>
      <c r="K23" s="33"/>
      <c r="L23" s="33"/>
      <c r="M23" s="33"/>
      <c r="N23" s="33"/>
      <c r="O23" s="33"/>
      <c r="P23" s="33"/>
      <c r="Q23" s="33"/>
    </row>
    <row r="24" spans="1:17" x14ac:dyDescent="0.3">
      <c r="A24" s="33"/>
      <c r="B24" s="33"/>
      <c r="C24" s="33"/>
      <c r="D24" s="33"/>
      <c r="E24" s="33"/>
      <c r="F24" s="33"/>
      <c r="G24" s="33"/>
      <c r="H24" s="33"/>
      <c r="I24" s="33"/>
      <c r="J24" s="33"/>
      <c r="K24" s="33"/>
      <c r="L24" s="33"/>
      <c r="M24" s="33"/>
      <c r="N24" s="33"/>
      <c r="O24" s="33"/>
      <c r="P24" s="33"/>
      <c r="Q24" s="33"/>
    </row>
    <row r="25" spans="1:17" x14ac:dyDescent="0.3">
      <c r="A25" s="33"/>
      <c r="B25" s="33"/>
      <c r="C25" s="33"/>
      <c r="D25" s="33"/>
      <c r="E25" s="33"/>
      <c r="F25" s="33"/>
      <c r="G25" s="33"/>
      <c r="H25" s="33"/>
      <c r="I25" s="33"/>
      <c r="J25" s="33"/>
      <c r="K25" s="33"/>
      <c r="L25" s="33"/>
      <c r="M25" s="33"/>
      <c r="N25" s="33"/>
      <c r="O25" s="33"/>
      <c r="P25" s="33"/>
      <c r="Q25" s="33"/>
    </row>
    <row r="26" spans="1:17" ht="22.2" customHeight="1" x14ac:dyDescent="0.3">
      <c r="A26" s="33"/>
      <c r="B26" s="33"/>
      <c r="C26" s="33"/>
      <c r="D26" s="33"/>
      <c r="E26" s="33"/>
      <c r="F26" s="33"/>
      <c r="G26" s="33"/>
      <c r="H26" s="33"/>
      <c r="I26" s="33"/>
      <c r="J26" s="33"/>
      <c r="K26" s="33"/>
      <c r="L26" s="33"/>
      <c r="M26" s="33"/>
      <c r="N26" s="33"/>
      <c r="O26" s="33"/>
      <c r="P26" s="33"/>
      <c r="Q26" s="3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FIRM WISE</vt:lpstr>
      <vt:lpstr>MONTH WISE</vt:lpstr>
      <vt:lpstr>TAX WISE</vt:lpstr>
      <vt:lpstr>PRODUCT WISE</vt:lpstr>
      <vt:lpstr>Firm_wise</vt:lpstr>
      <vt:lpstr>Month_wise</vt:lpstr>
      <vt:lpstr>Tax_wise</vt:lpstr>
      <vt:lpstr>Product_wise</vt:lpstr>
      <vt:lpstr>State_wise</vt:lpstr>
      <vt:lpstr>DATA</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Daood</dc:creator>
  <cp:lastModifiedBy>a32372</cp:lastModifiedBy>
  <dcterms:created xsi:type="dcterms:W3CDTF">2020-04-22T22:10:47Z</dcterms:created>
  <dcterms:modified xsi:type="dcterms:W3CDTF">2026-02-09T13:13:16Z</dcterms:modified>
</cp:coreProperties>
</file>