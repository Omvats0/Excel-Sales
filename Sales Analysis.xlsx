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 Sharma\OneDrive\Desktop\Excel\Project_XL\"/>
    </mc:Choice>
  </mc:AlternateContent>
  <xr:revisionPtr revIDLastSave="0" documentId="8_{F32E9425-39BC-4617-9869-71DB64AD9062}" xr6:coauthVersionLast="47" xr6:coauthVersionMax="47" xr10:uidLastSave="{00000000-0000-0000-0000-000000000000}"/>
  <bookViews>
    <workbookView xWindow="-108" yWindow="-108" windowWidth="23256" windowHeight="12456" xr2:uid="{BF47A22B-3743-4FA3-A0AE-036CB19E4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<sst xmlns="http://schemas.openxmlformats.org/spreadsheetml/2006/main" count="160" uniqueCount="24">
  <si>
    <t xml:space="preserve">Firm Name </t>
  </si>
  <si>
    <t>State</t>
  </si>
  <si>
    <t>Invoice No.</t>
  </si>
  <si>
    <t>Date</t>
  </si>
  <si>
    <t>Tax Rate</t>
  </si>
  <si>
    <t>Description of Goods</t>
  </si>
  <si>
    <t>Qty</t>
  </si>
  <si>
    <t>Unit</t>
  </si>
  <si>
    <t>Rate</t>
  </si>
  <si>
    <t>Taxable Value</t>
  </si>
  <si>
    <t>IGST</t>
  </si>
  <si>
    <t>CGST</t>
  </si>
  <si>
    <t>SGST</t>
  </si>
  <si>
    <t>CESS</t>
  </si>
  <si>
    <t>TOTAL</t>
  </si>
  <si>
    <t>INVOICE VALUE</t>
  </si>
  <si>
    <t>JK Enterprise</t>
  </si>
  <si>
    <t>Local</t>
  </si>
  <si>
    <t>Plywood 6mm</t>
  </si>
  <si>
    <t>PCS</t>
  </si>
  <si>
    <t>Plywood 4mm</t>
  </si>
  <si>
    <t>INTERSTATE</t>
  </si>
  <si>
    <t>SR Hardware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</si>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</sst>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9" fontId="2" fillId="3" borderId="0" xfId="0" applyNumberFormat="1" applyFont="1" applyFill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14" fontId="3" fillId="4" borderId="3" xfId="1" applyNumberFormat="1" applyFont="1" applyFill="1" applyBorder="1" applyAlignment="1">
      <alignment horizontal="center" vertical="center"/>
    </xf>
    <xf numFmtId="10" fontId="3" fillId="4" borderId="3" xfId="1" applyNumberFormat="1" applyFont="1" applyFill="1" applyBorder="1" applyAlignment="1">
      <alignment horizontal="center" vertical="center"/>
    </xf>
    <xf numFmtId="4" fontId="3" fillId="4" borderId="3" xfId="1" applyNumberFormat="1" applyFont="1" applyFill="1" applyBorder="1" applyAlignment="1">
      <alignment horizontal="center" vertical="center"/>
    </xf>
    <xf numFmtId="4" fontId="3" fillId="4" borderId="3" xfId="0" applyNumberFormat="1" applyFont="1" applyFill="1" applyBorder="1"/>
    <xf numFmtId="4" fontId="3" fillId="4" borderId="3" xfId="1" applyNumberFormat="1" applyFont="1" applyFill="1" applyBorder="1"/>
    <xf numFmtId="0" fontId="3" fillId="2" borderId="2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14" fontId="3" fillId="2" borderId="3" xfId="1" applyNumberFormat="1" applyFont="1" applyBorder="1" applyAlignment="1">
      <alignment horizontal="center" vertical="center"/>
    </xf>
    <xf numFmtId="10" fontId="3" fillId="2" borderId="3" xfId="1" applyNumberFormat="1" applyFont="1" applyBorder="1" applyAlignment="1">
      <alignment horizontal="center" vertical="center"/>
    </xf>
    <xf numFmtId="4" fontId="3" fillId="2" borderId="3" xfId="1" applyNumberFormat="1" applyFont="1" applyBorder="1" applyAlignment="1">
      <alignment horizontal="center" vertical="center"/>
    </xf>
    <xf numFmtId="4" fontId="3" fillId="0" borderId="3" xfId="0" applyNumberFormat="1" applyFont="1" applyBorder="1"/>
    <xf numFmtId="4" fontId="3" fillId="2" borderId="3" xfId="1" applyNumberFormat="1" applyFont="1" applyBorder="1"/>
    <xf numFmtId="10" fontId="3" fillId="4" borderId="3" xfId="1" applyNumberFormat="1" applyFont="1" applyFill="1" applyBorder="1" applyAlignment="1">
      <alignment horizontal="center"/>
    </xf>
    <xf numFmtId="0" fontId="3" fillId="4" borderId="3" xfId="1" applyFont="1" applyFill="1" applyBorder="1" applyAlignment="1">
      <alignment horizontal="center"/>
    </xf>
    <xf numFmtId="10" fontId="3" fillId="2" borderId="3" xfId="1" applyNumberFormat="1" applyFont="1" applyBorder="1" applyAlignment="1">
      <alignment horizontal="center"/>
    </xf>
    <xf numFmtId="0" fontId="3" fillId="2" borderId="3" xfId="1" applyFont="1" applyBorder="1" applyAlignment="1">
      <alignment horizontal="center"/>
    </xf>
  </cellXfs>
  <cellStyles count="2">
    <cellStyle name="40% - Accent6" xfId="1" builtinId="51"/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numFmt numFmtId="164" formatCode="[$-409]d\-mmm\-yy;@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A4904-F424-4FA6-BDE1-BDC875ECA830}" name="Sales_Data" displayName="Sales_Data" ref="A1:P37" totalsRowShown="0" headerRowDxfId="18" dataDxfId="17" tableBorderDxfId="16" dataCellStyle="40% - Accent6">
  <autoFilter ref="A1:P37" xr:uid="{D52A4904-F424-4FA6-BDE1-BDC875ECA830}"/>
  <tableColumns count="16">
    <tableColumn id="1" xr3:uid="{D16FC594-1B95-4A81-ADD7-1C2B68FC3DD6}" name="Firm Name " dataDxfId="15" dataCellStyle="40% - Accent6"/>
    <tableColumn id="2" xr3:uid="{F5CFB393-643A-4A00-BFD2-DBB29C22B312}" name="State" dataDxfId="14" dataCellStyle="40% - Accent6"/>
    <tableColumn id="3" xr3:uid="{F3CE7159-D031-4B48-97B5-6D9FBE226DD1}" name="Invoice No." dataDxfId="13" dataCellStyle="40% - Accent6"/>
    <tableColumn id="4" xr3:uid="{B4DA9A70-13F8-4454-BD56-31B7131D7570}" name="Date" dataDxfId="12" dataCellStyle="40% - Accent6"/>
    <tableColumn id="5" xr3:uid="{B779142D-C0E2-4C41-812A-BCB664B81D2F}" name="Tax Rate" dataDxfId="11" dataCellStyle="40% - Accent6"/>
    <tableColumn id="6" xr3:uid="{B329CFC3-39E9-427E-88EB-B6860C90AAD6}" name="Description of Goods" dataDxfId="10" dataCellStyle="40% - Accent6"/>
    <tableColumn id="7" xr3:uid="{697B6A56-F685-4111-AF99-E8D9D3B65002}" name="Qty" dataDxfId="9" dataCellStyle="40% - Accent6"/>
    <tableColumn id="8" xr3:uid="{8EEE8C79-5804-4D67-B40C-E042ACF03F1E}" name="Unit" dataDxfId="8" dataCellStyle="40% - Accent6"/>
    <tableColumn id="9" xr3:uid="{733B91F7-A4DB-40AB-BC90-3740E64BD1A7}" name="Rate" dataDxfId="7" dataCellStyle="40% - Accent6"/>
    <tableColumn id="10" xr3:uid="{5C857E1F-FEF6-407D-B797-1EDD3FFC7FC8}" name="Taxable Value" dataDxfId="6"/>
    <tableColumn id="11" xr3:uid="{CCA63759-8692-4BBE-B9EA-296EB55AFD56}" name="IGST" dataDxfId="5" dataCellStyle="40% - Accent6"/>
    <tableColumn id="12" xr3:uid="{4D8E2E94-ACBC-4D67-80A4-B5FF15C83264}" name="CGST" dataDxfId="4" dataCellStyle="40% - Accent6"/>
    <tableColumn id="13" xr3:uid="{FEA44458-43D2-40C1-92EC-E6B991AEAC3F}" name="SGST" dataDxfId="3" dataCellStyle="40% - Accent6"/>
    <tableColumn id="14" xr3:uid="{8BB86992-7DC0-41B0-830C-1285BC7831F9}" name="CESS" dataDxfId="2" dataCellStyle="40% - Accent6"/>
    <tableColumn id="15" xr3:uid="{70B571CC-7FCD-4F3F-A8D5-C469B228F768}" name="TOTAL" dataDxfId="1" dataCellStyle="40% - Accent6"/>
    <tableColumn id="16" xr3:uid="{F63171E4-2CD0-445A-B40B-4A11FFADD60A}" name="INVOICE 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32F1-31A6-4741-B5C4-6BFFD7AF0B58}">
  <dimension ref="A1:P37"/>
  <sheetViews>
    <sheetView tabSelected="1" topLeftCell="E7" workbookViewId="0">
      <selection activeCell="Q3" sqref="Q3"/>
    </sheetView>
  </sheetViews>
  <sheetFormatPr defaultRowHeight="14.4" x14ac:dyDescent="0.3"/>
  <cols>
    <col min="1" max="1" width="17.6640625" bestFit="1" customWidth="1"/>
    <col min="2" max="2" width="11.77734375" bestFit="1" customWidth="1"/>
    <col min="3" max="3" width="17.21875" bestFit="1" customWidth="1"/>
    <col min="4" max="4" width="11.21875" bestFit="1" customWidth="1"/>
    <col min="5" max="5" width="14.109375" bestFit="1" customWidth="1"/>
    <col min="6" max="6" width="28.109375" bestFit="1" customWidth="1"/>
    <col min="7" max="7" width="9" bestFit="1" customWidth="1"/>
    <col min="8" max="8" width="9.77734375" bestFit="1" customWidth="1"/>
    <col min="9" max="9" width="10.21875" bestFit="1" customWidth="1"/>
    <col min="10" max="10" width="20" bestFit="1" customWidth="1"/>
    <col min="11" max="11" width="10.21875" bestFit="1" customWidth="1"/>
    <col min="12" max="12" width="11.21875" bestFit="1" customWidth="1"/>
    <col min="13" max="13" width="10.88671875" bestFit="1" customWidth="1"/>
    <col min="14" max="14" width="11.109375" bestFit="1" customWidth="1"/>
    <col min="15" max="15" width="12" bestFit="1" customWidth="1"/>
    <col min="16" max="16" width="22.21875" bestFit="1" customWidth="1"/>
  </cols>
  <sheetData>
    <row r="1" spans="1:16" ht="18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2" t="s">
        <v>15</v>
      </c>
    </row>
    <row r="2" spans="1:16" ht="15.6" x14ac:dyDescent="0.3">
      <c r="A2" s="5" t="s">
        <v>16</v>
      </c>
      <c r="B2" s="6" t="s">
        <v>17</v>
      </c>
      <c r="C2" s="6">
        <v>23</v>
      </c>
      <c r="D2" s="7">
        <v>43922</v>
      </c>
      <c r="E2" s="8">
        <v>0.18</v>
      </c>
      <c r="F2" s="6" t="s">
        <v>18</v>
      </c>
      <c r="G2" s="6">
        <v>8</v>
      </c>
      <c r="H2" s="8" t="s">
        <v>19</v>
      </c>
      <c r="I2" s="9">
        <v>2225</v>
      </c>
      <c r="J2" s="10">
        <v>17800</v>
      </c>
      <c r="K2" s="11">
        <v>0</v>
      </c>
      <c r="L2" s="11">
        <v>1602</v>
      </c>
      <c r="M2" s="11">
        <v>1602</v>
      </c>
      <c r="N2" s="11"/>
      <c r="O2" s="11">
        <v>21004</v>
      </c>
      <c r="P2" s="10">
        <v>21004</v>
      </c>
    </row>
    <row r="3" spans="1:16" ht="15.6" x14ac:dyDescent="0.3">
      <c r="A3" s="12" t="s">
        <v>16</v>
      </c>
      <c r="B3" s="13" t="s">
        <v>17</v>
      </c>
      <c r="C3" s="13">
        <v>24</v>
      </c>
      <c r="D3" s="14">
        <v>43986</v>
      </c>
      <c r="E3" s="15">
        <v>0.12</v>
      </c>
      <c r="F3" s="13" t="s">
        <v>20</v>
      </c>
      <c r="G3" s="13">
        <v>2</v>
      </c>
      <c r="H3" s="15" t="s">
        <v>19</v>
      </c>
      <c r="I3" s="16">
        <v>1670</v>
      </c>
      <c r="J3" s="17">
        <v>3340</v>
      </c>
      <c r="K3" s="18">
        <v>0</v>
      </c>
      <c r="L3" s="18">
        <v>200.4</v>
      </c>
      <c r="M3" s="18">
        <v>200.4</v>
      </c>
      <c r="N3" s="18"/>
      <c r="O3" s="18">
        <v>3740.8</v>
      </c>
      <c r="P3" s="17">
        <v>3740.8</v>
      </c>
    </row>
    <row r="4" spans="1:16" ht="15.6" x14ac:dyDescent="0.3">
      <c r="A4" s="5" t="s">
        <v>16</v>
      </c>
      <c r="B4" s="6" t="s">
        <v>17</v>
      </c>
      <c r="C4" s="6">
        <v>25</v>
      </c>
      <c r="D4" s="7">
        <v>44016</v>
      </c>
      <c r="E4" s="8">
        <v>0.03</v>
      </c>
      <c r="F4" s="6" t="s">
        <v>18</v>
      </c>
      <c r="G4" s="6">
        <v>10</v>
      </c>
      <c r="H4" s="8" t="s">
        <v>19</v>
      </c>
      <c r="I4" s="9">
        <v>1115</v>
      </c>
      <c r="J4" s="10">
        <v>11150</v>
      </c>
      <c r="K4" s="11">
        <v>0</v>
      </c>
      <c r="L4" s="11">
        <v>167.25</v>
      </c>
      <c r="M4" s="11">
        <v>167.25</v>
      </c>
      <c r="N4" s="11"/>
      <c r="O4" s="11">
        <v>11484.5</v>
      </c>
      <c r="P4" s="10">
        <v>11484.5</v>
      </c>
    </row>
    <row r="5" spans="1:16" ht="15.6" x14ac:dyDescent="0.3">
      <c r="A5" s="12" t="s">
        <v>16</v>
      </c>
      <c r="B5" s="13" t="s">
        <v>21</v>
      </c>
      <c r="C5" s="13">
        <v>26</v>
      </c>
      <c r="D5" s="14">
        <v>43956</v>
      </c>
      <c r="E5" s="15">
        <v>0</v>
      </c>
      <c r="F5" s="13" t="s">
        <v>20</v>
      </c>
      <c r="G5" s="13">
        <v>3</v>
      </c>
      <c r="H5" s="15" t="s">
        <v>19</v>
      </c>
      <c r="I5" s="16">
        <v>1115</v>
      </c>
      <c r="J5" s="17">
        <v>3345</v>
      </c>
      <c r="K5" s="18">
        <v>0</v>
      </c>
      <c r="L5" s="18">
        <v>0</v>
      </c>
      <c r="M5" s="18">
        <v>0</v>
      </c>
      <c r="N5" s="18"/>
      <c r="O5" s="18">
        <v>3345</v>
      </c>
      <c r="P5" s="17">
        <v>3345</v>
      </c>
    </row>
    <row r="6" spans="1:16" ht="15.6" x14ac:dyDescent="0.3">
      <c r="A6" s="5" t="s">
        <v>16</v>
      </c>
      <c r="B6" s="6" t="s">
        <v>17</v>
      </c>
      <c r="C6" s="6">
        <v>27</v>
      </c>
      <c r="D6" s="7">
        <v>43987</v>
      </c>
      <c r="E6" s="8">
        <v>0.28000000000000003</v>
      </c>
      <c r="F6" s="6" t="s">
        <v>18</v>
      </c>
      <c r="G6" s="6">
        <v>4</v>
      </c>
      <c r="H6" s="8" t="s">
        <v>19</v>
      </c>
      <c r="I6" s="9">
        <v>1115</v>
      </c>
      <c r="J6" s="10">
        <v>4460</v>
      </c>
      <c r="K6" s="11">
        <v>0</v>
      </c>
      <c r="L6" s="11">
        <v>624.40000000000009</v>
      </c>
      <c r="M6" s="11">
        <v>624.40000000000009</v>
      </c>
      <c r="N6" s="11"/>
      <c r="O6" s="11">
        <v>5708.7999999999993</v>
      </c>
      <c r="P6" s="10">
        <v>5708.7999999999993</v>
      </c>
    </row>
    <row r="7" spans="1:16" ht="15.6" x14ac:dyDescent="0.3">
      <c r="A7" s="12" t="s">
        <v>16</v>
      </c>
      <c r="B7" s="13" t="s">
        <v>17</v>
      </c>
      <c r="C7" s="13">
        <v>28</v>
      </c>
      <c r="D7" s="14">
        <v>44017</v>
      </c>
      <c r="E7" s="15">
        <v>0.05</v>
      </c>
      <c r="F7" s="13" t="s">
        <v>20</v>
      </c>
      <c r="G7" s="13">
        <v>24</v>
      </c>
      <c r="H7" s="15" t="s">
        <v>19</v>
      </c>
      <c r="I7" s="16">
        <v>1115</v>
      </c>
      <c r="J7" s="17">
        <v>26760</v>
      </c>
      <c r="K7" s="18">
        <v>0</v>
      </c>
      <c r="L7" s="18">
        <v>669</v>
      </c>
      <c r="M7" s="18">
        <v>669</v>
      </c>
      <c r="N7" s="18"/>
      <c r="O7" s="18">
        <v>28098</v>
      </c>
      <c r="P7" s="17">
        <v>28098</v>
      </c>
    </row>
    <row r="8" spans="1:16" ht="15.6" x14ac:dyDescent="0.3">
      <c r="A8" s="5" t="s">
        <v>16</v>
      </c>
      <c r="B8" s="6" t="s">
        <v>17</v>
      </c>
      <c r="C8" s="6">
        <v>29</v>
      </c>
      <c r="D8" s="7">
        <v>43957</v>
      </c>
      <c r="E8" s="8">
        <v>1E-3</v>
      </c>
      <c r="F8" s="6" t="s">
        <v>18</v>
      </c>
      <c r="G8" s="6">
        <v>30</v>
      </c>
      <c r="H8" s="8" t="s">
        <v>19</v>
      </c>
      <c r="I8" s="9">
        <v>1115</v>
      </c>
      <c r="J8" s="10">
        <v>33450</v>
      </c>
      <c r="K8" s="11">
        <v>0</v>
      </c>
      <c r="L8" s="11">
        <v>16.725000000000001</v>
      </c>
      <c r="M8" s="11">
        <v>16.725000000000001</v>
      </c>
      <c r="N8" s="11"/>
      <c r="O8" s="11">
        <v>33483.449999999997</v>
      </c>
      <c r="P8" s="10">
        <v>33483.449999999997</v>
      </c>
    </row>
    <row r="9" spans="1:16" ht="15.6" x14ac:dyDescent="0.3">
      <c r="A9" s="12" t="s">
        <v>16</v>
      </c>
      <c r="B9" s="13" t="s">
        <v>17</v>
      </c>
      <c r="C9" s="13">
        <v>30</v>
      </c>
      <c r="D9" s="14">
        <v>43988</v>
      </c>
      <c r="E9" s="15">
        <v>0.03</v>
      </c>
      <c r="F9" s="13" t="s">
        <v>20</v>
      </c>
      <c r="G9" s="13">
        <v>12</v>
      </c>
      <c r="H9" s="15" t="s">
        <v>19</v>
      </c>
      <c r="I9" s="16">
        <v>1115</v>
      </c>
      <c r="J9" s="17">
        <v>13380</v>
      </c>
      <c r="K9" s="18">
        <v>0</v>
      </c>
      <c r="L9" s="18">
        <v>200.7</v>
      </c>
      <c r="M9" s="18">
        <v>200.7</v>
      </c>
      <c r="N9" s="18"/>
      <c r="O9" s="18">
        <v>13781.400000000001</v>
      </c>
      <c r="P9" s="17">
        <v>13781.400000000001</v>
      </c>
    </row>
    <row r="10" spans="1:16" ht="15.6" x14ac:dyDescent="0.3">
      <c r="A10" s="5" t="s">
        <v>22</v>
      </c>
      <c r="B10" s="6" t="s">
        <v>17</v>
      </c>
      <c r="C10" s="6">
        <v>31</v>
      </c>
      <c r="D10" s="7">
        <v>44018</v>
      </c>
      <c r="E10" s="8">
        <v>0.18</v>
      </c>
      <c r="F10" s="6" t="s">
        <v>18</v>
      </c>
      <c r="G10" s="6">
        <v>17</v>
      </c>
      <c r="H10" s="8" t="s">
        <v>19</v>
      </c>
      <c r="I10" s="9">
        <v>1115</v>
      </c>
      <c r="J10" s="10">
        <v>18955</v>
      </c>
      <c r="K10" s="11">
        <v>0</v>
      </c>
      <c r="L10" s="11">
        <v>1705.95</v>
      </c>
      <c r="M10" s="11">
        <v>1705.95</v>
      </c>
      <c r="N10" s="11"/>
      <c r="O10" s="11">
        <v>22366.9</v>
      </c>
      <c r="P10" s="10">
        <v>22366.9</v>
      </c>
    </row>
    <row r="11" spans="1:16" ht="15.6" x14ac:dyDescent="0.3">
      <c r="A11" s="12" t="s">
        <v>22</v>
      </c>
      <c r="B11" s="13" t="s">
        <v>17</v>
      </c>
      <c r="C11" s="13">
        <v>32</v>
      </c>
      <c r="D11" s="14">
        <v>43958</v>
      </c>
      <c r="E11" s="15">
        <v>1E-3</v>
      </c>
      <c r="F11" s="13" t="s">
        <v>20</v>
      </c>
      <c r="G11" s="13">
        <v>16</v>
      </c>
      <c r="H11" s="15" t="s">
        <v>19</v>
      </c>
      <c r="I11" s="16">
        <v>1115</v>
      </c>
      <c r="J11" s="17">
        <v>17840</v>
      </c>
      <c r="K11" s="18">
        <v>0</v>
      </c>
      <c r="L11" s="18">
        <v>8.92</v>
      </c>
      <c r="M11" s="18">
        <v>8.92</v>
      </c>
      <c r="N11" s="18"/>
      <c r="O11" s="18">
        <v>17857.839999999997</v>
      </c>
      <c r="P11" s="17">
        <v>17857.839999999997</v>
      </c>
    </row>
    <row r="12" spans="1:16" ht="15.6" x14ac:dyDescent="0.3">
      <c r="A12" s="5" t="s">
        <v>22</v>
      </c>
      <c r="B12" s="6" t="s">
        <v>17</v>
      </c>
      <c r="C12" s="6">
        <v>33</v>
      </c>
      <c r="D12" s="7">
        <v>43989</v>
      </c>
      <c r="E12" s="8">
        <v>0.28000000000000003</v>
      </c>
      <c r="F12" s="6" t="s">
        <v>18</v>
      </c>
      <c r="G12" s="6">
        <v>50</v>
      </c>
      <c r="H12" s="8" t="s">
        <v>19</v>
      </c>
      <c r="I12" s="9">
        <v>1115</v>
      </c>
      <c r="J12" s="10">
        <v>55750</v>
      </c>
      <c r="K12" s="11">
        <v>0</v>
      </c>
      <c r="L12" s="11">
        <v>7805.0000000000009</v>
      </c>
      <c r="M12" s="11">
        <v>7805.0000000000009</v>
      </c>
      <c r="N12" s="11"/>
      <c r="O12" s="11">
        <v>71360</v>
      </c>
      <c r="P12" s="10">
        <v>71360</v>
      </c>
    </row>
    <row r="13" spans="1:16" ht="15.6" x14ac:dyDescent="0.3">
      <c r="A13" s="12" t="s">
        <v>22</v>
      </c>
      <c r="B13" s="13" t="s">
        <v>17</v>
      </c>
      <c r="C13" s="13">
        <v>34</v>
      </c>
      <c r="D13" s="14">
        <v>44019</v>
      </c>
      <c r="E13" s="15">
        <v>0</v>
      </c>
      <c r="F13" s="13" t="s">
        <v>20</v>
      </c>
      <c r="G13" s="13">
        <v>21</v>
      </c>
      <c r="H13" s="15" t="s">
        <v>19</v>
      </c>
      <c r="I13" s="16">
        <v>1115</v>
      </c>
      <c r="J13" s="17">
        <v>23415</v>
      </c>
      <c r="K13" s="18">
        <v>0</v>
      </c>
      <c r="L13" s="18">
        <v>0</v>
      </c>
      <c r="M13" s="18">
        <v>0</v>
      </c>
      <c r="N13" s="18"/>
      <c r="O13" s="18">
        <v>23415</v>
      </c>
      <c r="P13" s="17">
        <v>23415</v>
      </c>
    </row>
    <row r="14" spans="1:16" ht="15.6" x14ac:dyDescent="0.3">
      <c r="A14" s="5" t="s">
        <v>16</v>
      </c>
      <c r="B14" s="6" t="s">
        <v>21</v>
      </c>
      <c r="C14" s="6">
        <v>35</v>
      </c>
      <c r="D14" s="7">
        <v>43959</v>
      </c>
      <c r="E14" s="19">
        <v>0.05</v>
      </c>
      <c r="F14" s="6" t="s">
        <v>18</v>
      </c>
      <c r="G14" s="20">
        <v>25</v>
      </c>
      <c r="H14" s="8" t="s">
        <v>19</v>
      </c>
      <c r="I14" s="9">
        <v>1115</v>
      </c>
      <c r="J14" s="10">
        <v>27875</v>
      </c>
      <c r="K14" s="11">
        <v>1393.75</v>
      </c>
      <c r="L14" s="11">
        <v>0</v>
      </c>
      <c r="M14" s="11">
        <v>0</v>
      </c>
      <c r="N14" s="11"/>
      <c r="O14" s="11">
        <v>29268.75</v>
      </c>
      <c r="P14" s="10">
        <v>29268.75</v>
      </c>
    </row>
    <row r="15" spans="1:16" ht="15.6" x14ac:dyDescent="0.3">
      <c r="A15" s="12" t="s">
        <v>16</v>
      </c>
      <c r="B15" s="13" t="s">
        <v>21</v>
      </c>
      <c r="C15" s="13">
        <v>36</v>
      </c>
      <c r="D15" s="14">
        <v>43990</v>
      </c>
      <c r="E15" s="21">
        <v>0.18</v>
      </c>
      <c r="F15" s="13" t="s">
        <v>20</v>
      </c>
      <c r="G15" s="22">
        <v>42</v>
      </c>
      <c r="H15" s="15" t="s">
        <v>19</v>
      </c>
      <c r="I15" s="16">
        <v>1115</v>
      </c>
      <c r="J15" s="17">
        <v>46830</v>
      </c>
      <c r="K15" s="18">
        <v>8429.4</v>
      </c>
      <c r="L15" s="18">
        <v>0</v>
      </c>
      <c r="M15" s="18">
        <v>0</v>
      </c>
      <c r="N15" s="18"/>
      <c r="O15" s="18">
        <v>55259.4</v>
      </c>
      <c r="P15" s="17">
        <v>55259.4</v>
      </c>
    </row>
    <row r="16" spans="1:16" ht="15.6" x14ac:dyDescent="0.3">
      <c r="A16" s="5" t="s">
        <v>16</v>
      </c>
      <c r="B16" s="6" t="s">
        <v>23</v>
      </c>
      <c r="C16" s="6">
        <v>37</v>
      </c>
      <c r="D16" s="7">
        <v>44020</v>
      </c>
      <c r="E16" s="19">
        <v>1E-3</v>
      </c>
      <c r="F16" s="6" t="s">
        <v>18</v>
      </c>
      <c r="G16" s="20">
        <v>32</v>
      </c>
      <c r="H16" s="8" t="s">
        <v>19</v>
      </c>
      <c r="I16" s="9">
        <v>1115</v>
      </c>
      <c r="J16" s="10">
        <v>35680</v>
      </c>
      <c r="K16" s="11">
        <v>0</v>
      </c>
      <c r="L16" s="11">
        <v>17.84</v>
      </c>
      <c r="M16" s="11">
        <v>17.84</v>
      </c>
      <c r="N16" s="11"/>
      <c r="O16" s="11">
        <v>35715.679999999993</v>
      </c>
      <c r="P16" s="10">
        <v>35715.679999999993</v>
      </c>
    </row>
    <row r="17" spans="1:16" ht="15.6" x14ac:dyDescent="0.3">
      <c r="A17" s="12" t="s">
        <v>16</v>
      </c>
      <c r="B17" s="13" t="s">
        <v>23</v>
      </c>
      <c r="C17" s="13">
        <v>38</v>
      </c>
      <c r="D17" s="14">
        <v>43960</v>
      </c>
      <c r="E17" s="21">
        <v>0</v>
      </c>
      <c r="F17" s="13" t="s">
        <v>20</v>
      </c>
      <c r="G17" s="22">
        <v>10</v>
      </c>
      <c r="H17" s="15" t="s">
        <v>19</v>
      </c>
      <c r="I17" s="16">
        <v>1115</v>
      </c>
      <c r="J17" s="17">
        <v>11150</v>
      </c>
      <c r="K17" s="18">
        <v>0</v>
      </c>
      <c r="L17" s="18">
        <v>0</v>
      </c>
      <c r="M17" s="18">
        <v>0</v>
      </c>
      <c r="N17" s="18"/>
      <c r="O17" s="18">
        <v>11150</v>
      </c>
      <c r="P17" s="17">
        <v>11150</v>
      </c>
    </row>
    <row r="18" spans="1:16" ht="15.6" x14ac:dyDescent="0.3">
      <c r="A18" s="5" t="s">
        <v>16</v>
      </c>
      <c r="B18" s="6" t="s">
        <v>23</v>
      </c>
      <c r="C18" s="6">
        <v>39</v>
      </c>
      <c r="D18" s="7">
        <v>43991</v>
      </c>
      <c r="E18" s="19">
        <v>0.28000000000000003</v>
      </c>
      <c r="F18" s="6" t="s">
        <v>18</v>
      </c>
      <c r="G18" s="20">
        <v>20</v>
      </c>
      <c r="H18" s="8" t="s">
        <v>19</v>
      </c>
      <c r="I18" s="9">
        <v>1115</v>
      </c>
      <c r="J18" s="10">
        <v>22300</v>
      </c>
      <c r="K18" s="11">
        <v>0</v>
      </c>
      <c r="L18" s="11">
        <v>3122.0000000000005</v>
      </c>
      <c r="M18" s="11">
        <v>3122.0000000000005</v>
      </c>
      <c r="N18" s="11"/>
      <c r="O18" s="11">
        <v>28544</v>
      </c>
      <c r="P18" s="10">
        <v>28544</v>
      </c>
    </row>
    <row r="19" spans="1:16" ht="15.6" x14ac:dyDescent="0.3">
      <c r="A19" s="12" t="s">
        <v>22</v>
      </c>
      <c r="B19" s="13" t="s">
        <v>23</v>
      </c>
      <c r="C19" s="13">
        <v>40</v>
      </c>
      <c r="D19" s="14">
        <v>44021</v>
      </c>
      <c r="E19" s="21">
        <v>0.12</v>
      </c>
      <c r="F19" s="13" t="s">
        <v>20</v>
      </c>
      <c r="G19" s="22">
        <v>30</v>
      </c>
      <c r="H19" s="15" t="s">
        <v>19</v>
      </c>
      <c r="I19" s="16">
        <v>1115</v>
      </c>
      <c r="J19" s="17">
        <v>33450</v>
      </c>
      <c r="K19" s="18">
        <v>0</v>
      </c>
      <c r="L19" s="18">
        <v>2007</v>
      </c>
      <c r="M19" s="18">
        <v>2007</v>
      </c>
      <c r="N19" s="18"/>
      <c r="O19" s="18">
        <v>37464</v>
      </c>
      <c r="P19" s="17">
        <v>37464</v>
      </c>
    </row>
    <row r="20" spans="1:16" ht="15.6" x14ac:dyDescent="0.3">
      <c r="A20" s="5" t="s">
        <v>22</v>
      </c>
      <c r="B20" s="6" t="s">
        <v>21</v>
      </c>
      <c r="C20" s="6">
        <v>41</v>
      </c>
      <c r="D20" s="7">
        <v>43961</v>
      </c>
      <c r="E20" s="19">
        <v>0.03</v>
      </c>
      <c r="F20" s="6" t="s">
        <v>18</v>
      </c>
      <c r="G20" s="20">
        <v>45</v>
      </c>
      <c r="H20" s="8" t="s">
        <v>19</v>
      </c>
      <c r="I20" s="9">
        <v>1115</v>
      </c>
      <c r="J20" s="10">
        <v>50175</v>
      </c>
      <c r="K20" s="11">
        <v>1505.25</v>
      </c>
      <c r="L20" s="11">
        <v>0</v>
      </c>
      <c r="M20" s="11">
        <v>0</v>
      </c>
      <c r="N20" s="11"/>
      <c r="O20" s="11">
        <v>51680.25</v>
      </c>
      <c r="P20" s="10">
        <v>51680.25</v>
      </c>
    </row>
    <row r="21" spans="1:16" ht="15.6" x14ac:dyDescent="0.3">
      <c r="A21" s="12" t="s">
        <v>22</v>
      </c>
      <c r="B21" s="13" t="s">
        <v>23</v>
      </c>
      <c r="C21" s="13">
        <v>42</v>
      </c>
      <c r="D21" s="14">
        <v>43992</v>
      </c>
      <c r="E21" s="21">
        <v>0.05</v>
      </c>
      <c r="F21" s="13" t="s">
        <v>20</v>
      </c>
      <c r="G21" s="22">
        <v>62</v>
      </c>
      <c r="H21" s="15" t="s">
        <v>19</v>
      </c>
      <c r="I21" s="16">
        <v>1115</v>
      </c>
      <c r="J21" s="17">
        <v>69130</v>
      </c>
      <c r="K21" s="18">
        <v>0</v>
      </c>
      <c r="L21" s="18">
        <v>1728.25</v>
      </c>
      <c r="M21" s="18">
        <v>1728.25</v>
      </c>
      <c r="N21" s="18"/>
      <c r="O21" s="18">
        <v>72586.5</v>
      </c>
      <c r="P21" s="17">
        <v>72586.5</v>
      </c>
    </row>
    <row r="22" spans="1:16" ht="15.6" x14ac:dyDescent="0.3">
      <c r="A22" s="5" t="s">
        <v>22</v>
      </c>
      <c r="B22" s="6" t="s">
        <v>23</v>
      </c>
      <c r="C22" s="6">
        <v>43</v>
      </c>
      <c r="D22" s="7">
        <v>44022</v>
      </c>
      <c r="E22" s="19">
        <v>0</v>
      </c>
      <c r="F22" s="6" t="s">
        <v>18</v>
      </c>
      <c r="G22" s="20">
        <v>12</v>
      </c>
      <c r="H22" s="8" t="s">
        <v>19</v>
      </c>
      <c r="I22" s="9">
        <v>1115</v>
      </c>
      <c r="J22" s="10">
        <v>13380</v>
      </c>
      <c r="K22" s="11">
        <v>0</v>
      </c>
      <c r="L22" s="11">
        <v>0</v>
      </c>
      <c r="M22" s="11">
        <v>0</v>
      </c>
      <c r="N22" s="11"/>
      <c r="O22" s="11">
        <v>13380</v>
      </c>
      <c r="P22" s="10">
        <v>13380</v>
      </c>
    </row>
    <row r="23" spans="1:16" ht="15.6" x14ac:dyDescent="0.3">
      <c r="A23" s="12" t="s">
        <v>22</v>
      </c>
      <c r="B23" s="13" t="s">
        <v>23</v>
      </c>
      <c r="C23" s="13">
        <v>44</v>
      </c>
      <c r="D23" s="14">
        <v>43962</v>
      </c>
      <c r="E23" s="21">
        <v>0</v>
      </c>
      <c r="F23" s="13" t="s">
        <v>20</v>
      </c>
      <c r="G23" s="22">
        <v>25</v>
      </c>
      <c r="H23" s="15" t="s">
        <v>19</v>
      </c>
      <c r="I23" s="16">
        <v>1115</v>
      </c>
      <c r="J23" s="17">
        <v>27875</v>
      </c>
      <c r="K23" s="18">
        <v>0</v>
      </c>
      <c r="L23" s="18">
        <v>0</v>
      </c>
      <c r="M23" s="18">
        <v>0</v>
      </c>
      <c r="N23" s="18"/>
      <c r="O23" s="18">
        <v>27875</v>
      </c>
      <c r="P23" s="17">
        <v>27875</v>
      </c>
    </row>
    <row r="24" spans="1:16" ht="15.6" x14ac:dyDescent="0.3">
      <c r="A24" s="5" t="s">
        <v>22</v>
      </c>
      <c r="B24" s="6" t="s">
        <v>23</v>
      </c>
      <c r="C24" s="6">
        <v>45</v>
      </c>
      <c r="D24" s="7">
        <v>43993</v>
      </c>
      <c r="E24" s="19">
        <v>0.12</v>
      </c>
      <c r="F24" s="6" t="s">
        <v>18</v>
      </c>
      <c r="G24" s="20">
        <v>45</v>
      </c>
      <c r="H24" s="8" t="s">
        <v>19</v>
      </c>
      <c r="I24" s="9">
        <v>1115</v>
      </c>
      <c r="J24" s="10">
        <v>50175</v>
      </c>
      <c r="K24" s="11">
        <v>0</v>
      </c>
      <c r="L24" s="11">
        <v>3010.5</v>
      </c>
      <c r="M24" s="11">
        <v>3010.5</v>
      </c>
      <c r="N24" s="11"/>
      <c r="O24" s="11">
        <v>56196</v>
      </c>
      <c r="P24" s="10">
        <v>56196</v>
      </c>
    </row>
    <row r="25" spans="1:16" ht="15.6" x14ac:dyDescent="0.3">
      <c r="A25" s="12" t="s">
        <v>22</v>
      </c>
      <c r="B25" s="13" t="s">
        <v>23</v>
      </c>
      <c r="C25" s="13">
        <v>46</v>
      </c>
      <c r="D25" s="14">
        <v>44023</v>
      </c>
      <c r="E25" s="21">
        <v>0.12</v>
      </c>
      <c r="F25" s="13" t="s">
        <v>20</v>
      </c>
      <c r="G25" s="22">
        <v>20</v>
      </c>
      <c r="H25" s="15" t="s">
        <v>19</v>
      </c>
      <c r="I25" s="16">
        <v>1115</v>
      </c>
      <c r="J25" s="17">
        <v>22300</v>
      </c>
      <c r="K25" s="18">
        <v>0</v>
      </c>
      <c r="L25" s="18">
        <v>1338</v>
      </c>
      <c r="M25" s="18">
        <v>1338</v>
      </c>
      <c r="N25" s="18"/>
      <c r="O25" s="18">
        <v>24976</v>
      </c>
      <c r="P25" s="17">
        <v>24976</v>
      </c>
    </row>
    <row r="26" spans="1:16" ht="15.6" x14ac:dyDescent="0.3">
      <c r="A26" s="5" t="s">
        <v>22</v>
      </c>
      <c r="B26" s="6" t="s">
        <v>23</v>
      </c>
      <c r="C26" s="6">
        <v>47</v>
      </c>
      <c r="D26" s="7">
        <v>43963</v>
      </c>
      <c r="E26" s="19">
        <v>0.03</v>
      </c>
      <c r="F26" s="6" t="s">
        <v>18</v>
      </c>
      <c r="G26" s="20">
        <v>10</v>
      </c>
      <c r="H26" s="8" t="s">
        <v>19</v>
      </c>
      <c r="I26" s="9">
        <v>1115</v>
      </c>
      <c r="J26" s="10">
        <v>11150</v>
      </c>
      <c r="K26" s="11">
        <v>0</v>
      </c>
      <c r="L26" s="11">
        <v>167.25</v>
      </c>
      <c r="M26" s="11">
        <v>167.25</v>
      </c>
      <c r="N26" s="11"/>
      <c r="O26" s="11">
        <v>11484.5</v>
      </c>
      <c r="P26" s="10">
        <v>11484.5</v>
      </c>
    </row>
    <row r="27" spans="1:16" ht="15.6" x14ac:dyDescent="0.3">
      <c r="A27" s="12" t="s">
        <v>16</v>
      </c>
      <c r="B27" s="13" t="s">
        <v>23</v>
      </c>
      <c r="C27" s="13">
        <v>48</v>
      </c>
      <c r="D27" s="14">
        <v>43994</v>
      </c>
      <c r="E27" s="21">
        <v>0.28000000000000003</v>
      </c>
      <c r="F27" s="13" t="s">
        <v>20</v>
      </c>
      <c r="G27" s="22">
        <v>35</v>
      </c>
      <c r="H27" s="15" t="s">
        <v>19</v>
      </c>
      <c r="I27" s="16">
        <v>1115</v>
      </c>
      <c r="J27" s="17">
        <v>39025</v>
      </c>
      <c r="K27" s="18">
        <v>0</v>
      </c>
      <c r="L27" s="18">
        <v>5463.5000000000009</v>
      </c>
      <c r="M27" s="18">
        <v>5463.5000000000009</v>
      </c>
      <c r="N27" s="18"/>
      <c r="O27" s="18">
        <v>49952</v>
      </c>
      <c r="P27" s="17">
        <v>49952</v>
      </c>
    </row>
    <row r="28" spans="1:16" ht="15.6" x14ac:dyDescent="0.3">
      <c r="A28" s="5" t="s">
        <v>16</v>
      </c>
      <c r="B28" s="6" t="s">
        <v>23</v>
      </c>
      <c r="C28" s="6">
        <v>49</v>
      </c>
      <c r="D28" s="7">
        <v>44024</v>
      </c>
      <c r="E28" s="19">
        <v>0.12</v>
      </c>
      <c r="F28" s="6" t="s">
        <v>18</v>
      </c>
      <c r="G28" s="20">
        <v>15</v>
      </c>
      <c r="H28" s="8" t="s">
        <v>19</v>
      </c>
      <c r="I28" s="9">
        <v>1115</v>
      </c>
      <c r="J28" s="10">
        <v>16725</v>
      </c>
      <c r="K28" s="11">
        <v>0</v>
      </c>
      <c r="L28" s="11">
        <v>1003.5</v>
      </c>
      <c r="M28" s="11">
        <v>1003.5</v>
      </c>
      <c r="N28" s="11"/>
      <c r="O28" s="11">
        <v>18732</v>
      </c>
      <c r="P28" s="10">
        <v>18732</v>
      </c>
    </row>
    <row r="29" spans="1:16" ht="15.6" x14ac:dyDescent="0.3">
      <c r="A29" s="12" t="s">
        <v>16</v>
      </c>
      <c r="B29" s="13" t="s">
        <v>23</v>
      </c>
      <c r="C29" s="13">
        <v>50</v>
      </c>
      <c r="D29" s="14">
        <v>44317</v>
      </c>
      <c r="E29" s="21">
        <v>0.03</v>
      </c>
      <c r="F29" s="13" t="s">
        <v>20</v>
      </c>
      <c r="G29" s="22">
        <v>25</v>
      </c>
      <c r="H29" s="15" t="s">
        <v>19</v>
      </c>
      <c r="I29" s="16">
        <v>1115</v>
      </c>
      <c r="J29" s="17">
        <v>27875</v>
      </c>
      <c r="K29" s="18">
        <v>0</v>
      </c>
      <c r="L29" s="18">
        <v>418.125</v>
      </c>
      <c r="M29" s="18">
        <v>418.125</v>
      </c>
      <c r="N29" s="18"/>
      <c r="O29" s="18">
        <v>28711.25</v>
      </c>
      <c r="P29" s="17">
        <v>28711.25</v>
      </c>
    </row>
    <row r="30" spans="1:16" ht="15.6" x14ac:dyDescent="0.3">
      <c r="A30" s="5" t="s">
        <v>16</v>
      </c>
      <c r="B30" s="6" t="s">
        <v>23</v>
      </c>
      <c r="C30" s="6">
        <v>51</v>
      </c>
      <c r="D30" s="7">
        <v>44348</v>
      </c>
      <c r="E30" s="19">
        <v>0.28000000000000003</v>
      </c>
      <c r="F30" s="6" t="s">
        <v>18</v>
      </c>
      <c r="G30" s="20">
        <v>10</v>
      </c>
      <c r="H30" s="8" t="s">
        <v>19</v>
      </c>
      <c r="I30" s="9">
        <v>1115</v>
      </c>
      <c r="J30" s="10">
        <v>11150</v>
      </c>
      <c r="K30" s="11">
        <v>0</v>
      </c>
      <c r="L30" s="11">
        <v>1561.0000000000002</v>
      </c>
      <c r="M30" s="11">
        <v>1561.0000000000002</v>
      </c>
      <c r="N30" s="11"/>
      <c r="O30" s="11">
        <v>14272</v>
      </c>
      <c r="P30" s="10">
        <v>14272</v>
      </c>
    </row>
    <row r="31" spans="1:16" ht="15.6" x14ac:dyDescent="0.3">
      <c r="A31" s="12" t="s">
        <v>16</v>
      </c>
      <c r="B31" s="13" t="s">
        <v>23</v>
      </c>
      <c r="C31" s="13">
        <v>52</v>
      </c>
      <c r="D31" s="14">
        <v>44378</v>
      </c>
      <c r="E31" s="21">
        <v>0.05</v>
      </c>
      <c r="F31" s="13" t="s">
        <v>20</v>
      </c>
      <c r="G31" s="22">
        <v>5</v>
      </c>
      <c r="H31" s="15" t="s">
        <v>19</v>
      </c>
      <c r="I31" s="16">
        <v>1115</v>
      </c>
      <c r="J31" s="17">
        <v>5575</v>
      </c>
      <c r="K31" s="18">
        <v>0</v>
      </c>
      <c r="L31" s="18">
        <v>139.375</v>
      </c>
      <c r="M31" s="18">
        <v>139.375</v>
      </c>
      <c r="N31" s="18"/>
      <c r="O31" s="18">
        <v>5853.75</v>
      </c>
      <c r="P31" s="17">
        <v>5853.75</v>
      </c>
    </row>
    <row r="32" spans="1:16" ht="15.6" x14ac:dyDescent="0.3">
      <c r="A32" s="5" t="s">
        <v>22</v>
      </c>
      <c r="B32" s="6" t="s">
        <v>23</v>
      </c>
      <c r="C32" s="6">
        <v>53</v>
      </c>
      <c r="D32" s="7">
        <v>44318</v>
      </c>
      <c r="E32" s="19">
        <v>0.03</v>
      </c>
      <c r="F32" s="6" t="s">
        <v>18</v>
      </c>
      <c r="G32" s="20">
        <v>8</v>
      </c>
      <c r="H32" s="8" t="s">
        <v>19</v>
      </c>
      <c r="I32" s="9">
        <v>1115</v>
      </c>
      <c r="J32" s="10">
        <v>8920</v>
      </c>
      <c r="K32" s="11">
        <v>0</v>
      </c>
      <c r="L32" s="11">
        <v>133.79999999999998</v>
      </c>
      <c r="M32" s="11">
        <v>133.79999999999998</v>
      </c>
      <c r="N32" s="11"/>
      <c r="O32" s="11">
        <v>9187.5999999999985</v>
      </c>
      <c r="P32" s="10">
        <v>9187.5999999999985</v>
      </c>
    </row>
    <row r="33" spans="1:16" ht="15.6" x14ac:dyDescent="0.3">
      <c r="A33" s="12" t="s">
        <v>22</v>
      </c>
      <c r="B33" s="13" t="s">
        <v>23</v>
      </c>
      <c r="C33" s="13">
        <v>54</v>
      </c>
      <c r="D33" s="14">
        <v>44349</v>
      </c>
      <c r="E33" s="21">
        <v>0.05</v>
      </c>
      <c r="F33" s="13" t="s">
        <v>20</v>
      </c>
      <c r="G33" s="22">
        <v>10</v>
      </c>
      <c r="H33" s="15" t="s">
        <v>19</v>
      </c>
      <c r="I33" s="16">
        <v>1115</v>
      </c>
      <c r="J33" s="17">
        <v>11150</v>
      </c>
      <c r="K33" s="18">
        <v>0</v>
      </c>
      <c r="L33" s="18">
        <v>278.75</v>
      </c>
      <c r="M33" s="18">
        <v>278.75</v>
      </c>
      <c r="N33" s="18"/>
      <c r="O33" s="18">
        <v>11707.5</v>
      </c>
      <c r="P33" s="17">
        <v>11707.5</v>
      </c>
    </row>
    <row r="34" spans="1:16" ht="15.6" x14ac:dyDescent="0.3">
      <c r="A34" s="5" t="s">
        <v>22</v>
      </c>
      <c r="B34" s="6" t="s">
        <v>23</v>
      </c>
      <c r="C34" s="6">
        <v>55</v>
      </c>
      <c r="D34" s="7">
        <v>44379</v>
      </c>
      <c r="E34" s="19">
        <v>0.05</v>
      </c>
      <c r="F34" s="6" t="s">
        <v>18</v>
      </c>
      <c r="G34" s="20">
        <v>2</v>
      </c>
      <c r="H34" s="8" t="s">
        <v>19</v>
      </c>
      <c r="I34" s="9">
        <v>1115</v>
      </c>
      <c r="J34" s="10">
        <v>2230</v>
      </c>
      <c r="K34" s="11">
        <v>0</v>
      </c>
      <c r="L34" s="11">
        <v>55.75</v>
      </c>
      <c r="M34" s="11">
        <v>55.75</v>
      </c>
      <c r="N34" s="11"/>
      <c r="O34" s="11">
        <v>2341.5</v>
      </c>
      <c r="P34" s="10">
        <v>2341.5</v>
      </c>
    </row>
    <row r="35" spans="1:16" ht="15.6" x14ac:dyDescent="0.3">
      <c r="A35" s="12" t="s">
        <v>22</v>
      </c>
      <c r="B35" s="13" t="s">
        <v>23</v>
      </c>
      <c r="C35" s="13">
        <v>56</v>
      </c>
      <c r="D35" s="14">
        <v>44319</v>
      </c>
      <c r="E35" s="21">
        <v>0.28000000000000003</v>
      </c>
      <c r="F35" s="13" t="s">
        <v>20</v>
      </c>
      <c r="G35" s="22">
        <v>4</v>
      </c>
      <c r="H35" s="15" t="s">
        <v>19</v>
      </c>
      <c r="I35" s="16">
        <v>1115</v>
      </c>
      <c r="J35" s="17">
        <v>4460</v>
      </c>
      <c r="K35" s="18">
        <v>0</v>
      </c>
      <c r="L35" s="18">
        <v>624.40000000000009</v>
      </c>
      <c r="M35" s="18">
        <v>624.40000000000009</v>
      </c>
      <c r="N35" s="18"/>
      <c r="O35" s="18">
        <v>5708.7999999999993</v>
      </c>
      <c r="P35" s="17">
        <v>5708.7999999999993</v>
      </c>
    </row>
    <row r="36" spans="1:16" ht="15.6" x14ac:dyDescent="0.3">
      <c r="A36" s="5" t="s">
        <v>16</v>
      </c>
      <c r="B36" s="6" t="s">
        <v>23</v>
      </c>
      <c r="C36" s="6">
        <v>57</v>
      </c>
      <c r="D36" s="7">
        <v>44350</v>
      </c>
      <c r="E36" s="19">
        <v>1E-3</v>
      </c>
      <c r="F36" s="6" t="s">
        <v>18</v>
      </c>
      <c r="G36" s="20">
        <v>6</v>
      </c>
      <c r="H36" s="8" t="s">
        <v>19</v>
      </c>
      <c r="I36" s="9">
        <v>1115</v>
      </c>
      <c r="J36" s="10">
        <v>6690</v>
      </c>
      <c r="K36" s="11">
        <v>0</v>
      </c>
      <c r="L36" s="11">
        <v>3.3450000000000002</v>
      </c>
      <c r="M36" s="11">
        <v>3.3450000000000002</v>
      </c>
      <c r="N36" s="11"/>
      <c r="O36" s="11">
        <v>6696.6900000000005</v>
      </c>
      <c r="P36" s="10">
        <v>6696.6900000000005</v>
      </c>
    </row>
    <row r="37" spans="1:16" ht="15.6" x14ac:dyDescent="0.3">
      <c r="A37" s="12" t="s">
        <v>16</v>
      </c>
      <c r="B37" s="13" t="s">
        <v>23</v>
      </c>
      <c r="C37" s="13">
        <v>58</v>
      </c>
      <c r="D37" s="14">
        <v>44380</v>
      </c>
      <c r="E37" s="21">
        <v>0</v>
      </c>
      <c r="F37" s="13" t="s">
        <v>20</v>
      </c>
      <c r="G37" s="22">
        <v>5</v>
      </c>
      <c r="H37" s="15" t="s">
        <v>19</v>
      </c>
      <c r="I37" s="16">
        <v>1115</v>
      </c>
      <c r="J37" s="17">
        <v>5575</v>
      </c>
      <c r="K37" s="18">
        <v>0</v>
      </c>
      <c r="L37" s="18">
        <v>0</v>
      </c>
      <c r="M37" s="18">
        <v>0</v>
      </c>
      <c r="N37" s="18"/>
      <c r="O37" s="18">
        <v>5575</v>
      </c>
      <c r="P37" s="17">
        <v>5575</v>
      </c>
    </row>
  </sheetData>
  <conditionalFormatting sqref="A10:A13 A19:A26 A32:A35">
    <cfRule type="expression" dxfId="31" priority="9">
      <formula>IF(ISBLANK(#REF!), 0, SEARCH(#REF!,$A10&amp;#REF!&amp;$B4&amp;$C4&amp;#REF!&amp;$J4))</formula>
    </cfRule>
  </conditionalFormatting>
  <conditionalFormatting sqref="A12:A13">
    <cfRule type="expression" dxfId="30" priority="6">
      <formula>IF(ISBLANK(#REF!), 0, SEARCH(#REF!,$A12&amp;#REF!&amp;$B6&amp;$C6&amp;#REF!&amp;$E6))</formula>
    </cfRule>
  </conditionalFormatting>
  <conditionalFormatting sqref="A21:A22 A25:A26 A34:A35">
    <cfRule type="expression" dxfId="29" priority="13">
      <formula>IF(ISBLANK(#REF!), 0, SEARCH(#REF!,$A21&amp;#REF!&amp;$B15&amp;$C15&amp;#REF!&amp;$E15))</formula>
    </cfRule>
  </conditionalFormatting>
  <conditionalFormatting sqref="B14:B37 E16:E37 G16:G37 J16:J37">
    <cfRule type="expression" dxfId="28" priority="2">
      <formula>IF(ISBLANK(#REF!), 0, SEARCH(#REF!,$A14&amp;#REF!&amp;$B14&amp;$D14&amp;#REF!&amp;$J14))</formula>
    </cfRule>
  </conditionalFormatting>
  <conditionalFormatting sqref="B16:B37 E16:E37 G16:G37 J16:J37">
    <cfRule type="expression" dxfId="27" priority="1">
      <formula>IF(ISBLANK(#REF!), 0, SEARCH(#REF!,$A16&amp;#REF!&amp;$B16&amp;$D16&amp;#REF!&amp;$E16))</formula>
    </cfRule>
  </conditionalFormatting>
  <conditionalFormatting sqref="C2:C3 E2:J3 A4:A9 B4:C13 F4:F37 H4:I37 C14:C37">
    <cfRule type="expression" dxfId="26" priority="5">
      <formula>IF(ISBLANK(#REF!), 0, SEARCH(#REF!,$A2&amp;#REF!&amp;$B2&amp;$C2&amp;#REF!&amp;$J2))</formula>
    </cfRule>
  </conditionalFormatting>
  <conditionalFormatting sqref="D2:D37 A16:A18 A29:A31 A37">
    <cfRule type="expression" dxfId="25" priority="12">
      <formula>IF(ISBLANK(#REF!), 0, SEARCH(#REF!,$A2&amp;#REF!&amp;$B2&amp;$C2&amp;#REF!&amp;$J2))</formula>
    </cfRule>
  </conditionalFormatting>
  <conditionalFormatting sqref="E4:E9 G4:G9 J4:J9">
    <cfRule type="expression" dxfId="24" priority="10">
      <formula>IF(ISBLANK(#REF!), 0, SEARCH(#REF!,$A10&amp;#REF!&amp;$B4&amp;$C4&amp;#REF!&amp;$J4))</formula>
    </cfRule>
  </conditionalFormatting>
  <conditionalFormatting sqref="E6:E9 G6:G9 J6:J9">
    <cfRule type="expression" dxfId="23" priority="7">
      <formula>IF(ISBLANK(#REF!), 0, SEARCH(#REF!,$A12&amp;#REF!&amp;$B6&amp;$C6&amp;#REF!&amp;$E6))</formula>
    </cfRule>
  </conditionalFormatting>
  <conditionalFormatting sqref="E10:E13 G10:G13 J10:J13">
    <cfRule type="expression" dxfId="22" priority="8">
      <formula>IF(ISBLANK(#REF!), 0, SEARCH(#REF!,#REF!&amp;#REF!&amp;$B10&amp;$C10&amp;#REF!&amp;$E10))</formula>
    </cfRule>
    <cfRule type="expression" dxfId="21" priority="11">
      <formula>IF(ISBLANK(#REF!), 0, SEARCH(#REF!,#REF!&amp;#REF!&amp;$B10&amp;$C10&amp;#REF!&amp;$J10))</formula>
    </cfRule>
  </conditionalFormatting>
  <conditionalFormatting sqref="E14:E15 G14:G15 J14:J15">
    <cfRule type="expression" dxfId="20" priority="3">
      <formula>IF(ISBLANK(#REF!), 0, SEARCH(#REF!,#REF!&amp;#REF!&amp;$B14&amp;$D14&amp;#REF!&amp;$E14))</formula>
    </cfRule>
    <cfRule type="expression" dxfId="19" priority="4">
      <formula>IF(ISBLANK(#REF!), 0, SEARCH(#REF!,#REF!&amp;#REF!&amp;$B14&amp;$D14&amp;#REF!&amp;$J14))</formula>
    </cfRule>
  </conditionalFormatting>
  <dataValidations count="4">
    <dataValidation type="list" allowBlank="1" showInputMessage="1" showErrorMessage="1" sqref="H2:H37" xr:uid="{402A31C1-7044-474D-8ACA-C0A589569515}">
      <formula1>"PCS,NOS,KG,DOZ"</formula1>
    </dataValidation>
    <dataValidation type="list" allowBlank="1" showInputMessage="1" showErrorMessage="1" sqref="E2:E37" xr:uid="{1E8579C7-87F2-4DA7-9CF6-8C11F14ABC81}">
      <formula1>$S$2:$S$8</formula1>
    </dataValidation>
    <dataValidation type="list" allowBlank="1" showInputMessage="1" showErrorMessage="1" sqref="B2:B37" xr:uid="{0A59B4DF-DA53-460D-8D9B-CE331EC7580F}">
      <formula1>"LOCAL,INTERSTATE"</formula1>
    </dataValidation>
    <dataValidation operator="equal" allowBlank="1" showInputMessage="1" showErrorMessage="1" sqref="A2:A37" xr:uid="{33BCE1F4-657E-4986-ADCB-659E2F4743B3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a32372</dc:creator>
  <cp:lastModifiedBy>a32372</cp:lastModifiedBy>
  <dcterms:created xsi:type="dcterms:W3CDTF">2026-02-09T18:26:26Z</dcterms:created>
  <dcterms:modified xsi:type="dcterms:W3CDTF">2026-02-09T18:29:16Z</dcterms:modified>
</cp:coreProperties>
</file>